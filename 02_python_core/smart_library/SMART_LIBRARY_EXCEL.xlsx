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5.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ohmm\python_refresh\02_python_core\smart_library\"/>
    </mc:Choice>
  </mc:AlternateContent>
  <bookViews>
    <workbookView xWindow="0" yWindow="0" windowWidth="20490" windowHeight="7500" activeTab="5"/>
  </bookViews>
  <sheets>
    <sheet name="Sheet1" sheetId="2" r:id="rId1"/>
    <sheet name="Sheet2" sheetId="3" r:id="rId2"/>
    <sheet name="Sheet3" sheetId="4" r:id="rId3"/>
    <sheet name="Sheet6" sheetId="7" r:id="rId4"/>
    <sheet name="library_books" sheetId="1" r:id="rId5"/>
    <sheet name="dashbord" sheetId="6" r:id="rId6"/>
  </sheets>
  <definedNames>
    <definedName name="Slicer_category1">#N/A</definedName>
  </definedNames>
  <calcPr calcId="0"/>
  <pivotCaches>
    <pivotCache cacheId="6"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N5" i="1" l="1"/>
  <c r="N3" i="1"/>
  <c r="N4"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N2" i="1"/>
</calcChain>
</file>

<file path=xl/sharedStrings.xml><?xml version="1.0" encoding="utf-8"?>
<sst xmlns="http://schemas.openxmlformats.org/spreadsheetml/2006/main" count="602" uniqueCount="358">
  <si>
    <t>book_id</t>
  </si>
  <si>
    <t>title</t>
  </si>
  <si>
    <t>author</t>
  </si>
  <si>
    <t>category</t>
  </si>
  <si>
    <t>year</t>
  </si>
  <si>
    <t>pages</t>
  </si>
  <si>
    <t>rating</t>
  </si>
  <si>
    <t>copies</t>
  </si>
  <si>
    <t>available_copies</t>
  </si>
  <si>
    <t>1001</t>
  </si>
  <si>
    <t>The Hobbit</t>
  </si>
  <si>
    <t>J.R.R. Tolkien</t>
  </si>
  <si>
    <t>Fantasy</t>
  </si>
  <si>
    <t>5</t>
  </si>
  <si>
    <t>3</t>
  </si>
  <si>
    <t>1002</t>
  </si>
  <si>
    <t>1984</t>
  </si>
  <si>
    <t>George Orwell</t>
  </si>
  <si>
    <t>Dystopian</t>
  </si>
  <si>
    <t>6</t>
  </si>
  <si>
    <t>1003</t>
  </si>
  <si>
    <t>Animal Farm</t>
  </si>
  <si>
    <t>Satire</t>
  </si>
  <si>
    <t>4</t>
  </si>
  <si>
    <t>1004</t>
  </si>
  <si>
    <t>Pride and Prejudice</t>
  </si>
  <si>
    <t>Jane Austen</t>
  </si>
  <si>
    <t>Romance</t>
  </si>
  <si>
    <t>1005</t>
  </si>
  <si>
    <t>The Great Gatsby</t>
  </si>
  <si>
    <t>F. Scott Fitzgerald</t>
  </si>
  <si>
    <t>Classic</t>
  </si>
  <si>
    <t>1006</t>
  </si>
  <si>
    <t>To Kill a Mockingbird</t>
  </si>
  <si>
    <t>Harper Lee</t>
  </si>
  <si>
    <t>1007</t>
  </si>
  <si>
    <t>The Catcher in the Rye</t>
  </si>
  <si>
    <t>J.D. Salinger</t>
  </si>
  <si>
    <t>1008</t>
  </si>
  <si>
    <t>Brave New World</t>
  </si>
  <si>
    <t>Aldous Huxley</t>
  </si>
  <si>
    <t>1009</t>
  </si>
  <si>
    <t>Fahrenheit 451</t>
  </si>
  <si>
    <t>Ray Bradbury</t>
  </si>
  <si>
    <t>1010</t>
  </si>
  <si>
    <t>The Alchemist</t>
  </si>
  <si>
    <t>Paulo Coelho</t>
  </si>
  <si>
    <t>Fiction</t>
  </si>
  <si>
    <t>7</t>
  </si>
  <si>
    <t>1011</t>
  </si>
  <si>
    <t>Harry Potter and the Philosopher's Stone</t>
  </si>
  <si>
    <t>J.K. Rowling</t>
  </si>
  <si>
    <t>8</t>
  </si>
  <si>
    <t>1012</t>
  </si>
  <si>
    <t>Harry Potter and the Chamber of Secrets</t>
  </si>
  <si>
    <t>1013</t>
  </si>
  <si>
    <t>Harry Potter and the Prisoner of Azkaban</t>
  </si>
  <si>
    <t>1014</t>
  </si>
  <si>
    <t>Harry Potter and the Goblet of Fire</t>
  </si>
  <si>
    <t>1015</t>
  </si>
  <si>
    <t>The Fellowship of the Ring</t>
  </si>
  <si>
    <t>1016</t>
  </si>
  <si>
    <t>The Two Towers</t>
  </si>
  <si>
    <t>1017</t>
  </si>
  <si>
    <t>The Return of the King</t>
  </si>
  <si>
    <t>1018</t>
  </si>
  <si>
    <t>Dune</t>
  </si>
  <si>
    <t>Frank Herbert</t>
  </si>
  <si>
    <t>Science Fiction</t>
  </si>
  <si>
    <t>1019</t>
  </si>
  <si>
    <t>Foundation</t>
  </si>
  <si>
    <t>Isaac Asimov</t>
  </si>
  <si>
    <t>1020</t>
  </si>
  <si>
    <t>Neuromancer</t>
  </si>
  <si>
    <t>William Gibson</t>
  </si>
  <si>
    <t>1021</t>
  </si>
  <si>
    <t>The Martian</t>
  </si>
  <si>
    <t>Andy Weir</t>
  </si>
  <si>
    <t>1022</t>
  </si>
  <si>
    <t>Project Hail Mary</t>
  </si>
  <si>
    <t>1023</t>
  </si>
  <si>
    <t>Sapiens</t>
  </si>
  <si>
    <t>Yuval Noah Harari</t>
  </si>
  <si>
    <t>History</t>
  </si>
  <si>
    <t>1024</t>
  </si>
  <si>
    <t>Homo Deus</t>
  </si>
  <si>
    <t>1025</t>
  </si>
  <si>
    <t>Educated</t>
  </si>
  <si>
    <t>Tara Westover</t>
  </si>
  <si>
    <t>Memoir</t>
  </si>
  <si>
    <t>1026</t>
  </si>
  <si>
    <t>Becoming</t>
  </si>
  <si>
    <t>Michelle Obama</t>
  </si>
  <si>
    <t>1027</t>
  </si>
  <si>
    <t>Atomic Habits</t>
  </si>
  <si>
    <t>James Clear</t>
  </si>
  <si>
    <t>Self-Help</t>
  </si>
  <si>
    <t>1028</t>
  </si>
  <si>
    <t>Deep Work</t>
  </si>
  <si>
    <t>Cal Newport</t>
  </si>
  <si>
    <t>Productivity</t>
  </si>
  <si>
    <t>1029</t>
  </si>
  <si>
    <t>The 7 Habits of Highly Effective People</t>
  </si>
  <si>
    <t>Stephen R. Covey</t>
  </si>
  <si>
    <t>1030</t>
  </si>
  <si>
    <t>Thinking, Fast and Slow</t>
  </si>
  <si>
    <t>Daniel Kahneman</t>
  </si>
  <si>
    <t>Psychology</t>
  </si>
  <si>
    <t>1031</t>
  </si>
  <si>
    <t>The Psychology of Money</t>
  </si>
  <si>
    <t>Morgan Housel</t>
  </si>
  <si>
    <t>Finance</t>
  </si>
  <si>
    <t>1032</t>
  </si>
  <si>
    <t>Rich Dad Poor Dad</t>
  </si>
  <si>
    <t>Robert Kiyosaki</t>
  </si>
  <si>
    <t>1033</t>
  </si>
  <si>
    <t>The Intelligent Investor</t>
  </si>
  <si>
    <t>Benjamin Graham</t>
  </si>
  <si>
    <t>1034</t>
  </si>
  <si>
    <t>Zero to One</t>
  </si>
  <si>
    <t>Peter Thiel</t>
  </si>
  <si>
    <t>Business</t>
  </si>
  <si>
    <t>1035</t>
  </si>
  <si>
    <t>Good to Great</t>
  </si>
  <si>
    <t>Jim Collins</t>
  </si>
  <si>
    <t>1036</t>
  </si>
  <si>
    <t>The Lean Startup</t>
  </si>
  <si>
    <t>Eric Ries</t>
  </si>
  <si>
    <t>1037</t>
  </si>
  <si>
    <t>Start with Why</t>
  </si>
  <si>
    <t>Simon Sinek</t>
  </si>
  <si>
    <t>1038</t>
  </si>
  <si>
    <t>Outliers</t>
  </si>
  <si>
    <t>Malcolm Gladwell</t>
  </si>
  <si>
    <t>1039</t>
  </si>
  <si>
    <t>Blink</t>
  </si>
  <si>
    <t>1040</t>
  </si>
  <si>
    <t>Man's Search for Meaning</t>
  </si>
  <si>
    <t>Viktor E. Frankl</t>
  </si>
  <si>
    <t>1041</t>
  </si>
  <si>
    <t>Meditations</t>
  </si>
  <si>
    <t>Marcus Aurelius</t>
  </si>
  <si>
    <t>Philosophy</t>
  </si>
  <si>
    <t>1042</t>
  </si>
  <si>
    <t>The Republic</t>
  </si>
  <si>
    <t>Plato</t>
  </si>
  <si>
    <t>1043</t>
  </si>
  <si>
    <t>Thus Spoke Zarathustra</t>
  </si>
  <si>
    <t>Friedrich Nietzsche</t>
  </si>
  <si>
    <t>1044</t>
  </si>
  <si>
    <t>The Art of War</t>
  </si>
  <si>
    <t>Sun Tzu</t>
  </si>
  <si>
    <t>1045</t>
  </si>
  <si>
    <t>Crime and Punishment</t>
  </si>
  <si>
    <t>Fyodor Dostoevsky</t>
  </si>
  <si>
    <t>1046</t>
  </si>
  <si>
    <t>The Brothers Karamazov</t>
  </si>
  <si>
    <t>1047</t>
  </si>
  <si>
    <t>Anna Karenina</t>
  </si>
  <si>
    <t>Leo Tolstoy</t>
  </si>
  <si>
    <t>1048</t>
  </si>
  <si>
    <t>War and Peace</t>
  </si>
  <si>
    <t>1049</t>
  </si>
  <si>
    <t>The Picture of Dorian Gray</t>
  </si>
  <si>
    <t>Oscar Wilde</t>
  </si>
  <si>
    <t>1050</t>
  </si>
  <si>
    <t>Jane Eyre</t>
  </si>
  <si>
    <t>Charlotte Brontë</t>
  </si>
  <si>
    <t>1051</t>
  </si>
  <si>
    <t>Wuthering Heights</t>
  </si>
  <si>
    <t>Emily Brontë</t>
  </si>
  <si>
    <t>1052</t>
  </si>
  <si>
    <t>The Old Man and the Sea</t>
  </si>
  <si>
    <t>Ernest Hemingway</t>
  </si>
  <si>
    <t>1053</t>
  </si>
  <si>
    <t>For Whom the Bell Tolls</t>
  </si>
  <si>
    <t>1054</t>
  </si>
  <si>
    <t>The Grapes of Wrath</t>
  </si>
  <si>
    <t>John Steinbeck</t>
  </si>
  <si>
    <t>1055</t>
  </si>
  <si>
    <t>Of Mice and Men</t>
  </si>
  <si>
    <t>1056</t>
  </si>
  <si>
    <t>The Road</t>
  </si>
  <si>
    <t>Cormac McCarthy</t>
  </si>
  <si>
    <t>1057</t>
  </si>
  <si>
    <t>The Handmaid's Tale</t>
  </si>
  <si>
    <t>Margaret Atwood</t>
  </si>
  <si>
    <t>1058</t>
  </si>
  <si>
    <t>Never Let Me Go</t>
  </si>
  <si>
    <t>Kazuo Ishiguro</t>
  </si>
  <si>
    <t>1059</t>
  </si>
  <si>
    <t>The Name of the Wind</t>
  </si>
  <si>
    <t>Patrick Rothfuss</t>
  </si>
  <si>
    <t>1060</t>
  </si>
  <si>
    <t>A Game of Thrones</t>
  </si>
  <si>
    <t>George R.R. Martin</t>
  </si>
  <si>
    <t>1061</t>
  </si>
  <si>
    <t>A Clash of Kings</t>
  </si>
  <si>
    <t>1062</t>
  </si>
  <si>
    <t>The Lion, the Witch and the Wardrobe</t>
  </si>
  <si>
    <t>C.S. Lewis</t>
  </si>
  <si>
    <t>1063</t>
  </si>
  <si>
    <t>The Chronicles of Narnia</t>
  </si>
  <si>
    <t>1064</t>
  </si>
  <si>
    <t>The Little Prince</t>
  </si>
  <si>
    <t>Antoine de Saint-Exupéry</t>
  </si>
  <si>
    <t>1065</t>
  </si>
  <si>
    <t>The Kite Runner</t>
  </si>
  <si>
    <t>Khaled Hosseini</t>
  </si>
  <si>
    <t>1066</t>
  </si>
  <si>
    <t>A Thousand Splendid Suns</t>
  </si>
  <si>
    <t>1067</t>
  </si>
  <si>
    <t>Life of Pi</t>
  </si>
  <si>
    <t>Yann Martel</t>
  </si>
  <si>
    <t>1068</t>
  </si>
  <si>
    <t>The Book Thief</t>
  </si>
  <si>
    <t>Markus Zusak</t>
  </si>
  <si>
    <t>Historical Fiction</t>
  </si>
  <si>
    <t>1069</t>
  </si>
  <si>
    <t>All the Light We Cannot See</t>
  </si>
  <si>
    <t>Anthony Doerr</t>
  </si>
  <si>
    <t>1070</t>
  </si>
  <si>
    <t>The Nightingale</t>
  </si>
  <si>
    <t>Kristin Hannah</t>
  </si>
  <si>
    <t>1071</t>
  </si>
  <si>
    <t>The Da Vinci Code</t>
  </si>
  <si>
    <t>Dan Brown</t>
  </si>
  <si>
    <t>Mystery</t>
  </si>
  <si>
    <t>1072</t>
  </si>
  <si>
    <t>Gone Girl</t>
  </si>
  <si>
    <t>Gillian Flynn</t>
  </si>
  <si>
    <t>1073</t>
  </si>
  <si>
    <t>The Girl with the Dragon Tattoo</t>
  </si>
  <si>
    <t>Stieg Larsson</t>
  </si>
  <si>
    <t>1074</t>
  </si>
  <si>
    <t>Murder on the Orient Express</t>
  </si>
  <si>
    <t>Agatha Christie</t>
  </si>
  <si>
    <t>1075</t>
  </si>
  <si>
    <t>And Then There Were None</t>
  </si>
  <si>
    <t>1076</t>
  </si>
  <si>
    <t>The Hound of the Baskervilles</t>
  </si>
  <si>
    <t>Arthur Conan Doyle</t>
  </si>
  <si>
    <t>1077</t>
  </si>
  <si>
    <t>The Silent Patient</t>
  </si>
  <si>
    <t>Alex Michaelides</t>
  </si>
  <si>
    <t>1078</t>
  </si>
  <si>
    <t>The Shining</t>
  </si>
  <si>
    <t>Stephen King</t>
  </si>
  <si>
    <t>Horror</t>
  </si>
  <si>
    <t>1079</t>
  </si>
  <si>
    <t>It</t>
  </si>
  <si>
    <t>1080</t>
  </si>
  <si>
    <t>Pet Sematary</t>
  </si>
  <si>
    <t>1081</t>
  </si>
  <si>
    <t>Dracula</t>
  </si>
  <si>
    <t>Bram Stoker</t>
  </si>
  <si>
    <t>1082</t>
  </si>
  <si>
    <t>Frankenstein</t>
  </si>
  <si>
    <t>Mary Shelley</t>
  </si>
  <si>
    <t>1083</t>
  </si>
  <si>
    <t>The Haunting of Hill House</t>
  </si>
  <si>
    <t>Shirley Jackson</t>
  </si>
  <si>
    <t>1084</t>
  </si>
  <si>
    <t>The Fault in Our Stars</t>
  </si>
  <si>
    <t>John Green</t>
  </si>
  <si>
    <t>1085</t>
  </si>
  <si>
    <t>Me Before You</t>
  </si>
  <si>
    <t>Jojo Moyes</t>
  </si>
  <si>
    <t>1086</t>
  </si>
  <si>
    <t>Normal People</t>
  </si>
  <si>
    <t>Sally Rooney</t>
  </si>
  <si>
    <t>1087</t>
  </si>
  <si>
    <t>The Notebook</t>
  </si>
  <si>
    <t>Nicholas Sparks</t>
  </si>
  <si>
    <t>1088</t>
  </si>
  <si>
    <t>The Seven Husbands of Evelyn Hugo</t>
  </si>
  <si>
    <t>Taylor Jenkins Reid</t>
  </si>
  <si>
    <t>1089</t>
  </si>
  <si>
    <t>The Midnight Library</t>
  </si>
  <si>
    <t>Matt Haig</t>
  </si>
  <si>
    <t>1090</t>
  </si>
  <si>
    <t>Klara and the Sun</t>
  </si>
  <si>
    <t>1091</t>
  </si>
  <si>
    <t>The Invisible Man</t>
  </si>
  <si>
    <t>H.G. Wells</t>
  </si>
  <si>
    <t>1092</t>
  </si>
  <si>
    <t>The Time Machine</t>
  </si>
  <si>
    <t>1093</t>
  </si>
  <si>
    <t>Do Androids Dream of Electric Sheep?</t>
  </si>
  <si>
    <t>Philip K. Dick</t>
  </si>
  <si>
    <t>1094</t>
  </si>
  <si>
    <t>The Innovators</t>
  </si>
  <si>
    <t>Walter Isaacson</t>
  </si>
  <si>
    <t>Technology</t>
  </si>
  <si>
    <t>1095</t>
  </si>
  <si>
    <t>Steve Jobs</t>
  </si>
  <si>
    <t>Biography</t>
  </si>
  <si>
    <t>1096</t>
  </si>
  <si>
    <t>Leonardo da Vinci</t>
  </si>
  <si>
    <t>1097</t>
  </si>
  <si>
    <t>Einstein: His Life and Universe</t>
  </si>
  <si>
    <t>1098</t>
  </si>
  <si>
    <t>Surely You're Joking, Mr. Feynman!</t>
  </si>
  <si>
    <t>Richard Feynman</t>
  </si>
  <si>
    <t>1099</t>
  </si>
  <si>
    <t>A Brief History of Time</t>
  </si>
  <si>
    <t>Stephen Hawking</t>
  </si>
  <si>
    <t>Science</t>
  </si>
  <si>
    <t>1100</t>
  </si>
  <si>
    <t>Cosmos</t>
  </si>
  <si>
    <t>Carl Sagan</t>
  </si>
  <si>
    <t>1101</t>
  </si>
  <si>
    <t>The Selfish Gene</t>
  </si>
  <si>
    <t>Richard Dawkins</t>
  </si>
  <si>
    <t>1102</t>
  </si>
  <si>
    <t>Guns, Germs, and Steel</t>
  </si>
  <si>
    <t>Jared Diamond</t>
  </si>
  <si>
    <t>1103</t>
  </si>
  <si>
    <t>The Silk Roads</t>
  </si>
  <si>
    <t>Peter Frankopan</t>
  </si>
  <si>
    <t>1104</t>
  </si>
  <si>
    <t>Prisoners of Geography</t>
  </si>
  <si>
    <t>Tim Marshall</t>
  </si>
  <si>
    <t>Geography</t>
  </si>
  <si>
    <t>1105</t>
  </si>
  <si>
    <t>The Design of Everyday Things</t>
  </si>
  <si>
    <t>Don Norman</t>
  </si>
  <si>
    <t>Design</t>
  </si>
  <si>
    <t>1106</t>
  </si>
  <si>
    <t>Don't Make Me Think</t>
  </si>
  <si>
    <t>Steve Krug</t>
  </si>
  <si>
    <t>1107</t>
  </si>
  <si>
    <t>Clean Code</t>
  </si>
  <si>
    <t>Robert C. Martin</t>
  </si>
  <si>
    <t>1108</t>
  </si>
  <si>
    <t>The Pragmatic Programmer</t>
  </si>
  <si>
    <t>Andrew Hunt, David Thomas</t>
  </si>
  <si>
    <t>1109</t>
  </si>
  <si>
    <t>Python Crash Course</t>
  </si>
  <si>
    <t>Eric Matthes</t>
  </si>
  <si>
    <t>1110</t>
  </si>
  <si>
    <t>Automate the Boring Stuff with Python</t>
  </si>
  <si>
    <t>Al Sweigart</t>
  </si>
  <si>
    <t>kpi</t>
  </si>
  <si>
    <t>amount</t>
  </si>
  <si>
    <t>total books</t>
  </si>
  <si>
    <t>total copies</t>
  </si>
  <si>
    <t>cop_num</t>
  </si>
  <si>
    <t>avrage_rating</t>
  </si>
  <si>
    <t>Row Labels</t>
  </si>
  <si>
    <t>Grand Total</t>
  </si>
  <si>
    <t>Count of book_id</t>
  </si>
  <si>
    <t>Sum of available_copies</t>
  </si>
  <si>
    <t>Sum of cop_num</t>
  </si>
  <si>
    <t>Average of rating</t>
  </si>
  <si>
    <t xml:space="preserve">total </t>
  </si>
  <si>
    <t>available</t>
  </si>
  <si>
    <t>avg.rating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</si>
</sst>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49998474074526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9">
    <xf numFmtId="0" fontId="0" fillId="0" borderId="0" xfId="0"/>
    <xf numFmtId="49" fontId="16" fillId="0" borderId="0" xfId="0" applyNumberFormat="1" applyFont="1" applyAlignment="1">
      <alignment horizontal="center" vertical="center"/>
    </xf>
    <xf numFmtId="2" fontId="16" fillId="0" borderId="0" xfId="0" applyNumberFormat="1" applyFont="1" applyAlignment="1">
      <alignment horizontal="center" vertical="center"/>
    </xf>
    <xf numFmtId="2" fontId="0" fillId="0" borderId="0" xfId="0" applyNumberFormat="1"/>
    <xf numFmtId="1" fontId="16" fillId="0" borderId="0" xfId="0" applyNumberFormat="1" applyFont="1" applyAlignment="1">
      <alignment horizontal="center" vertical="center"/>
    </xf>
    <xf numFmtId="1" fontId="0" fillId="0" borderId="0" xfId="0" applyNumberFormat="1"/>
    <xf numFmtId="0" fontId="16" fillId="0" borderId="0" xfId="0" applyNumberFormat="1" applyFont="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18" fillId="0" borderId="10" xfId="0" applyFont="1" applyBorder="1" applyAlignment="1">
      <alignment horizontal="center" vertical="center"/>
    </xf>
    <xf numFmtId="0" fontId="18" fillId="0" borderId="11" xfId="0" applyFont="1" applyBorder="1" applyAlignment="1">
      <alignment horizontal="center" vertical="center"/>
    </xf>
    <xf numFmtId="0" fontId="18" fillId="0" borderId="12" xfId="0" applyFont="1" applyBorder="1" applyAlignment="1">
      <alignment horizontal="center" vertical="center"/>
    </xf>
    <xf numFmtId="0" fontId="18" fillId="0" borderId="13" xfId="0" applyFont="1" applyBorder="1" applyAlignment="1">
      <alignment horizontal="center" vertical="center"/>
    </xf>
    <xf numFmtId="0" fontId="18" fillId="0" borderId="14" xfId="0" applyFont="1" applyBorder="1" applyAlignment="1">
      <alignment horizontal="center" vertical="center"/>
    </xf>
    <xf numFmtId="0" fontId="18" fillId="0" borderId="15" xfId="0" applyFont="1" applyBorder="1" applyAlignment="1">
      <alignment horizontal="center" vertical="center"/>
    </xf>
    <xf numFmtId="0" fontId="0" fillId="33" borderId="0" xfId="0" applyFill="1" applyAlignment="1">
      <alignment horizontal="left"/>
    </xf>
    <xf numFmtId="2" fontId="0" fillId="33"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56">
    <dxf>
      <numFmt numFmtId="1" formatCode="0"/>
    </dxf>
    <dxf>
      <numFmt numFmtId="165" formatCode="0.0"/>
    </dxf>
    <dxf>
      <numFmt numFmtId="2" formatCode="0.00"/>
    </dxf>
    <dxf>
      <numFmt numFmtId="1" formatCode="0"/>
    </dxf>
    <dxf>
      <numFmt numFmtId="165" formatCode="0.0"/>
    </dxf>
    <dxf>
      <numFmt numFmtId="2" formatCode="0.00"/>
    </dxf>
    <dxf>
      <numFmt numFmtId="166" formatCode="0.00000000"/>
    </dxf>
    <dxf>
      <numFmt numFmtId="167" formatCode="0.0000000"/>
    </dxf>
    <dxf>
      <numFmt numFmtId="168" formatCode="0.000000"/>
    </dxf>
    <dxf>
      <numFmt numFmtId="169" formatCode="0.00000"/>
    </dxf>
    <dxf>
      <numFmt numFmtId="170" formatCode="0.0000"/>
    </dxf>
    <dxf>
      <numFmt numFmtId="164" formatCode="0.000"/>
    </dxf>
    <dxf>
      <numFmt numFmtId="2" formatCode="0.00"/>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numFmt numFmtId="1" formatCode="0"/>
    </dxf>
    <dxf>
      <numFmt numFmtId="165" formatCode="0.0"/>
    </dxf>
    <dxf>
      <numFmt numFmtId="2" formatCode="0.00"/>
    </dxf>
    <dxf>
      <numFmt numFmtId="166" formatCode="0.00000000"/>
    </dxf>
    <dxf>
      <numFmt numFmtId="167" formatCode="0.0000000"/>
    </dxf>
    <dxf>
      <numFmt numFmtId="168" formatCode="0.000000"/>
    </dxf>
    <dxf>
      <numFmt numFmtId="169" formatCode="0.00000"/>
    </dxf>
    <dxf>
      <numFmt numFmtId="170" formatCode="0.0000"/>
    </dxf>
    <dxf>
      <numFmt numFmtId="164" formatCode="0.000"/>
    </dxf>
    <dxf>
      <numFmt numFmtId="2" formatCode="0.00"/>
    </dxf>
    <dxf>
      <numFmt numFmtId="1" formatCode="0"/>
    </dxf>
    <dxf>
      <numFmt numFmtId="165" formatCode="0.0"/>
    </dxf>
    <dxf>
      <numFmt numFmtId="2" formatCode="0.00"/>
    </dxf>
    <dxf>
      <numFmt numFmtId="1" formatCode="0"/>
    </dxf>
    <dxf>
      <numFmt numFmtId="165" formatCode="0.0"/>
    </dxf>
    <dxf>
      <numFmt numFmtId="2" formatCode="0.00"/>
    </dxf>
    <dxf>
      <numFmt numFmtId="166" formatCode="0.00000000"/>
    </dxf>
    <dxf>
      <numFmt numFmtId="167" formatCode="0.0000000"/>
    </dxf>
    <dxf>
      <numFmt numFmtId="168" formatCode="0.000000"/>
    </dxf>
    <dxf>
      <numFmt numFmtId="169" formatCode="0.00000"/>
    </dxf>
    <dxf>
      <numFmt numFmtId="170" formatCode="0.0000"/>
    </dxf>
    <dxf>
      <numFmt numFmtId="164" formatCode="0.000"/>
    </dxf>
    <dxf>
      <numFmt numFmtId="2" formatCode="0.00"/>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numFmt numFmtId="1" formatCode="0"/>
    </dxf>
    <dxf>
      <numFmt numFmtId="165" formatCode="0.0"/>
    </dxf>
    <dxf>
      <numFmt numFmtId="2" formatCode="0.00"/>
    </dxf>
    <dxf>
      <numFmt numFmtId="166" formatCode="0.00000000"/>
    </dxf>
    <dxf>
      <numFmt numFmtId="167" formatCode="0.0000000"/>
    </dxf>
    <dxf>
      <numFmt numFmtId="168" formatCode="0.000000"/>
    </dxf>
    <dxf>
      <numFmt numFmtId="169" formatCode="0.00000"/>
    </dxf>
    <dxf>
      <numFmt numFmtId="170" formatCode="0.0000"/>
    </dxf>
    <dxf>
      <numFmt numFmtId="164" formatCode="0.000"/>
    </dxf>
    <dxf>
      <numFmt numFmtId="2" formatCode="0.00"/>
    </dxf>
    <dxf>
      <numFmt numFmtId="1" formatCode="0"/>
    </dxf>
    <dxf>
      <numFmt numFmtId="165" formatCode="0.0"/>
    </dxf>
    <dxf>
      <numFmt numFmtId="2" formatCode="0.00"/>
    </dxf>
    <dxf>
      <numFmt numFmtId="1" formatCode="0"/>
    </dxf>
    <dxf>
      <numFmt numFmtId="165" formatCode="0.0"/>
    </dxf>
    <dxf>
      <numFmt numFmtId="2" formatCode="0.00"/>
    </dxf>
    <dxf>
      <numFmt numFmtId="166" formatCode="0.00000000"/>
    </dxf>
    <dxf>
      <numFmt numFmtId="167" formatCode="0.0000000"/>
    </dxf>
    <dxf>
      <numFmt numFmtId="168" formatCode="0.000000"/>
    </dxf>
    <dxf>
      <numFmt numFmtId="169" formatCode="0.00000"/>
    </dxf>
    <dxf>
      <numFmt numFmtId="170" formatCode="0.0000"/>
    </dxf>
    <dxf>
      <numFmt numFmtId="164" formatCode="0.000"/>
    </dxf>
    <dxf>
      <numFmt numFmtId="2" formatCode="0.00"/>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numFmt numFmtId="1" formatCode="0"/>
    </dxf>
    <dxf>
      <numFmt numFmtId="165" formatCode="0.0"/>
    </dxf>
    <dxf>
      <numFmt numFmtId="2" formatCode="0.00"/>
    </dxf>
    <dxf>
      <numFmt numFmtId="166" formatCode="0.00000000"/>
    </dxf>
    <dxf>
      <numFmt numFmtId="167" formatCode="0.0000000"/>
    </dxf>
    <dxf>
      <numFmt numFmtId="168" formatCode="0.000000"/>
    </dxf>
    <dxf>
      <numFmt numFmtId="169" formatCode="0.00000"/>
    </dxf>
    <dxf>
      <numFmt numFmtId="170" formatCode="0.0000"/>
    </dxf>
    <dxf>
      <numFmt numFmtId="164" formatCode="0.000"/>
    </dxf>
    <dxf>
      <numFmt numFmtId="2" formatCode="0.00"/>
    </dxf>
    <dxf>
      <numFmt numFmtId="1" formatCode="0"/>
    </dxf>
    <dxf>
      <numFmt numFmtId="165" formatCode="0.0"/>
    </dxf>
    <dxf>
      <numFmt numFmtId="2" formatCode="0.00"/>
    </dxf>
    <dxf>
      <numFmt numFmtId="1" formatCode="0"/>
    </dxf>
    <dxf>
      <numFmt numFmtId="165" formatCode="0.0"/>
    </dxf>
    <dxf>
      <numFmt numFmtId="2" formatCode="0.00"/>
    </dxf>
    <dxf>
      <numFmt numFmtId="166" formatCode="0.00000000"/>
    </dxf>
    <dxf>
      <numFmt numFmtId="167" formatCode="0.0000000"/>
    </dxf>
    <dxf>
      <numFmt numFmtId="168" formatCode="0.000000"/>
    </dxf>
    <dxf>
      <numFmt numFmtId="169" formatCode="0.00000"/>
    </dxf>
    <dxf>
      <numFmt numFmtId="170" formatCode="0.0000"/>
    </dxf>
    <dxf>
      <numFmt numFmtId="164" formatCode="0.000"/>
    </dxf>
    <dxf>
      <numFmt numFmtId="2" formatCode="0.00"/>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numFmt numFmtId="1" formatCode="0"/>
    </dxf>
    <dxf>
      <numFmt numFmtId="165" formatCode="0.0"/>
    </dxf>
    <dxf>
      <numFmt numFmtId="2" formatCode="0.00"/>
    </dxf>
    <dxf>
      <numFmt numFmtId="166" formatCode="0.00000000"/>
    </dxf>
    <dxf>
      <numFmt numFmtId="167" formatCode="0.0000000"/>
    </dxf>
    <dxf>
      <numFmt numFmtId="168" formatCode="0.000000"/>
    </dxf>
    <dxf>
      <numFmt numFmtId="169" formatCode="0.00000"/>
    </dxf>
    <dxf>
      <numFmt numFmtId="170" formatCode="0.0000"/>
    </dxf>
    <dxf>
      <numFmt numFmtId="164" formatCode="0.000"/>
    </dxf>
    <dxf>
      <numFmt numFmtId="2" formatCode="0.00"/>
    </dxf>
    <dxf>
      <numFmt numFmtId="1" formatCode="0"/>
    </dxf>
    <dxf>
      <numFmt numFmtId="165" formatCode="0.0"/>
    </dxf>
    <dxf>
      <numFmt numFmtId="2" formatCode="0.00"/>
    </dxf>
    <dxf>
      <numFmt numFmtId="1" formatCode="0"/>
    </dxf>
    <dxf>
      <numFmt numFmtId="165" formatCode="0.0"/>
    </dxf>
    <dxf>
      <numFmt numFmtId="2" formatCode="0.00"/>
    </dxf>
    <dxf>
      <numFmt numFmtId="166" formatCode="0.00000000"/>
    </dxf>
    <dxf>
      <numFmt numFmtId="167" formatCode="0.0000000"/>
    </dxf>
    <dxf>
      <numFmt numFmtId="168" formatCode="0.000000"/>
    </dxf>
    <dxf>
      <numFmt numFmtId="169" formatCode="0.00000"/>
    </dxf>
    <dxf>
      <numFmt numFmtId="170" formatCode="0.0000"/>
    </dxf>
    <dxf>
      <numFmt numFmtId="164" formatCode="0.000"/>
    </dxf>
    <dxf>
      <numFmt numFmtId="2" formatCode="0.00"/>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numFmt numFmtId="1" formatCode="0"/>
    </dxf>
    <dxf>
      <numFmt numFmtId="165" formatCode="0.0"/>
    </dxf>
    <dxf>
      <numFmt numFmtId="2" formatCode="0.00"/>
    </dxf>
    <dxf>
      <numFmt numFmtId="166" formatCode="0.00000000"/>
    </dxf>
    <dxf>
      <numFmt numFmtId="167" formatCode="0.0000000"/>
    </dxf>
    <dxf>
      <numFmt numFmtId="168" formatCode="0.000000"/>
    </dxf>
    <dxf>
      <numFmt numFmtId="169" formatCode="0.00000"/>
    </dxf>
    <dxf>
      <numFmt numFmtId="170" formatCode="0.0000"/>
    </dxf>
    <dxf>
      <numFmt numFmtId="164" formatCode="0.000"/>
    </dxf>
    <dxf>
      <numFmt numFmtId="2" formatCode="0.00"/>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numFmt numFmtId="1" formatCode="0"/>
    </dxf>
    <dxf>
      <numFmt numFmtId="165" formatCode="0.0"/>
    </dxf>
    <dxf>
      <numFmt numFmtId="2" formatCode="0.00"/>
    </dxf>
    <dxf>
      <numFmt numFmtId="166" formatCode="0.00000000"/>
    </dxf>
    <dxf>
      <numFmt numFmtId="167" formatCode="0.0000000"/>
    </dxf>
    <dxf>
      <numFmt numFmtId="168" formatCode="0.000000"/>
    </dxf>
    <dxf>
      <numFmt numFmtId="169" formatCode="0.00000"/>
    </dxf>
    <dxf>
      <numFmt numFmtId="170" formatCode="0.0000"/>
    </dxf>
    <dxf>
      <numFmt numFmtId="164" formatCode="0.000"/>
    </dxf>
    <dxf>
      <numFmt numFmtId="2" formatCode="0.00"/>
    </dxf>
    <dxf>
      <numFmt numFmtId="1" formatCode="0"/>
    </dxf>
    <dxf>
      <numFmt numFmtId="165" formatCode="0.0"/>
    </dxf>
    <dxf>
      <numFmt numFmtId="2" formatCode="0.00"/>
    </dxf>
    <dxf>
      <numFmt numFmtId="1" formatCode="0"/>
    </dxf>
    <dxf>
      <numFmt numFmtId="165" formatCode="0.0"/>
    </dxf>
    <dxf>
      <numFmt numFmtId="2" formatCode="0.00"/>
    </dxf>
    <dxf>
      <numFmt numFmtId="166" formatCode="0.00000000"/>
    </dxf>
    <dxf>
      <numFmt numFmtId="167" formatCode="0.0000000"/>
    </dxf>
    <dxf>
      <numFmt numFmtId="168" formatCode="0.000000"/>
    </dxf>
    <dxf>
      <numFmt numFmtId="169" formatCode="0.00000"/>
    </dxf>
    <dxf>
      <numFmt numFmtId="170" formatCode="0.0000"/>
    </dxf>
    <dxf>
      <numFmt numFmtId="164" formatCode="0.000"/>
    </dxf>
    <dxf>
      <numFmt numFmtId="2" formatCode="0.00"/>
    </dxf>
    <dxf>
      <numFmt numFmtId="1" formatCode="0"/>
    </dxf>
    <dxf>
      <numFmt numFmtId="165" formatCode="0.0"/>
    </dxf>
    <dxf>
      <numFmt numFmtId="2" formatCode="0.00"/>
    </dxf>
    <dxf>
      <numFmt numFmtId="166" formatCode="0.00000000"/>
    </dxf>
    <dxf>
      <numFmt numFmtId="167" formatCode="0.0000000"/>
    </dxf>
    <dxf>
      <numFmt numFmtId="168" formatCode="0.000000"/>
    </dxf>
    <dxf>
      <numFmt numFmtId="169" formatCode="0.00000"/>
    </dxf>
    <dxf>
      <numFmt numFmtId="170" formatCode="0.0000"/>
    </dxf>
    <dxf>
      <numFmt numFmtId="164" formatCode="0.000"/>
    </dxf>
    <dxf>
      <numFmt numFmtId="2" formatCode="0.00"/>
    </dxf>
    <dxf>
      <numFmt numFmtId="1" formatCode="0"/>
    </dxf>
    <dxf>
      <numFmt numFmtId="165" formatCode="0.0"/>
    </dxf>
    <dxf>
      <numFmt numFmtId="2" formatCode="0.00"/>
    </dxf>
    <dxf>
      <numFmt numFmtId="1" formatCode="0"/>
    </dxf>
    <dxf>
      <numFmt numFmtId="165" formatCode="0.0"/>
    </dxf>
    <dxf>
      <numFmt numFmtId="2" formatCode="0.00"/>
    </dxf>
    <dxf>
      <numFmt numFmtId="166" formatCode="0.00000000"/>
    </dxf>
    <dxf>
      <numFmt numFmtId="167" formatCode="0.0000000"/>
    </dxf>
    <dxf>
      <numFmt numFmtId="168" formatCode="0.000000"/>
    </dxf>
    <dxf>
      <numFmt numFmtId="169" formatCode="0.00000"/>
    </dxf>
    <dxf>
      <numFmt numFmtId="170" formatCode="0.0000"/>
    </dxf>
    <dxf>
      <numFmt numFmtId="164" formatCode="0.000"/>
    </dxf>
    <dxf>
      <numFmt numFmtId="2" formatCode="0.00"/>
    </dxf>
    <dxf>
      <numFmt numFmtId="1" formatCode="0"/>
    </dxf>
    <dxf>
      <numFmt numFmtId="165" formatCode="0.0"/>
    </dxf>
    <dxf>
      <numFmt numFmtId="2" formatCode="0.00"/>
    </dxf>
    <dxf>
      <numFmt numFmtId="166" formatCode="0.00000000"/>
    </dxf>
    <dxf>
      <numFmt numFmtId="167" formatCode="0.0000000"/>
    </dxf>
    <dxf>
      <numFmt numFmtId="168" formatCode="0.000000"/>
    </dxf>
    <dxf>
      <numFmt numFmtId="169" formatCode="0.00000"/>
    </dxf>
    <dxf>
      <numFmt numFmtId="170" formatCode="0.0000"/>
    </dxf>
    <dxf>
      <numFmt numFmtId="164" formatCode="0.000"/>
    </dxf>
    <dxf>
      <numFmt numFmtId="2" formatCode="0.00"/>
    </dxf>
    <dxf>
      <numFmt numFmtId="1" formatCode="0"/>
    </dxf>
    <dxf>
      <numFmt numFmtId="165" formatCode="0.0"/>
    </dxf>
    <dxf>
      <numFmt numFmtId="2" formatCode="0.00"/>
    </dxf>
    <dxf>
      <numFmt numFmtId="1" formatCode="0"/>
    </dxf>
    <dxf>
      <numFmt numFmtId="165" formatCode="0.0"/>
    </dxf>
    <dxf>
      <numFmt numFmtId="2" formatCode="0.00"/>
    </dxf>
    <dxf>
      <numFmt numFmtId="166" formatCode="0.00000000"/>
    </dxf>
    <dxf>
      <numFmt numFmtId="167" formatCode="0.0000000"/>
    </dxf>
    <dxf>
      <numFmt numFmtId="168" formatCode="0.000000"/>
    </dxf>
    <dxf>
      <numFmt numFmtId="169" formatCode="0.00000"/>
    </dxf>
    <dxf>
      <numFmt numFmtId="170" formatCode="0.0000"/>
    </dxf>
    <dxf>
      <numFmt numFmtId="164" formatCode="0.000"/>
    </dxf>
    <dxf>
      <numFmt numFmtId="2" formatCode="0.00"/>
    </dxf>
    <dxf>
      <numFmt numFmtId="1" formatCode="0"/>
    </dxf>
    <dxf>
      <numFmt numFmtId="165" formatCode="0.0"/>
    </dxf>
    <dxf>
      <numFmt numFmtId="2" formatCode="0.00"/>
    </dxf>
    <dxf>
      <numFmt numFmtId="166" formatCode="0.00000000"/>
    </dxf>
    <dxf>
      <numFmt numFmtId="167" formatCode="0.0000000"/>
    </dxf>
    <dxf>
      <numFmt numFmtId="168" formatCode="0.000000"/>
    </dxf>
    <dxf>
      <numFmt numFmtId="169" formatCode="0.00000"/>
    </dxf>
    <dxf>
      <numFmt numFmtId="170" formatCode="0.0000"/>
    </dxf>
    <dxf>
      <numFmt numFmtId="164" formatCode="0.000"/>
    </dxf>
    <dxf>
      <numFmt numFmtId="2" formatCode="0.00"/>
    </dxf>
    <dxf>
      <numFmt numFmtId="1" formatCode="0"/>
    </dxf>
    <dxf>
      <numFmt numFmtId="165" formatCode="0.0"/>
    </dxf>
    <dxf>
      <numFmt numFmtId="2" formatCode="0.00"/>
    </dxf>
    <dxf>
      <numFmt numFmtId="1" formatCode="0"/>
    </dxf>
    <dxf>
      <numFmt numFmtId="165" formatCode="0.0"/>
    </dxf>
    <dxf>
      <numFmt numFmtId="2" formatCode="0.00"/>
    </dxf>
    <dxf>
      <numFmt numFmtId="166" formatCode="0.00000000"/>
    </dxf>
    <dxf>
      <numFmt numFmtId="167" formatCode="0.0000000"/>
    </dxf>
    <dxf>
      <numFmt numFmtId="168" formatCode="0.000000"/>
    </dxf>
    <dxf>
      <numFmt numFmtId="169" formatCode="0.00000"/>
    </dxf>
    <dxf>
      <numFmt numFmtId="170" formatCode="0.0000"/>
    </dxf>
    <dxf>
      <numFmt numFmtId="164" formatCode="0.000"/>
    </dxf>
    <dxf>
      <numFmt numFmtId="2" formatCode="0.00"/>
    </dxf>
    <dxf>
      <numFmt numFmtId="1" formatCode="0"/>
    </dxf>
    <dxf>
      <numFmt numFmtId="165" formatCode="0.0"/>
    </dxf>
    <dxf>
      <numFmt numFmtId="2" formatCode="0.00"/>
    </dxf>
    <dxf>
      <numFmt numFmtId="166" formatCode="0.00000000"/>
    </dxf>
    <dxf>
      <numFmt numFmtId="167" formatCode="0.0000000"/>
    </dxf>
    <dxf>
      <numFmt numFmtId="168" formatCode="0.000000"/>
    </dxf>
    <dxf>
      <numFmt numFmtId="169" formatCode="0.00000"/>
    </dxf>
    <dxf>
      <numFmt numFmtId="170" formatCode="0.0000"/>
    </dxf>
    <dxf>
      <numFmt numFmtId="164" formatCode="0.000"/>
    </dxf>
    <dxf>
      <numFmt numFmtId="2" formatCode="0.00"/>
    </dxf>
    <dxf>
      <numFmt numFmtId="1" formatCode="0"/>
    </dxf>
    <dxf>
      <numFmt numFmtId="165" formatCode="0.0"/>
    </dxf>
    <dxf>
      <numFmt numFmtId="2" formatCode="0.00"/>
    </dxf>
    <dxf>
      <numFmt numFmtId="1" formatCode="0"/>
    </dxf>
    <dxf>
      <numFmt numFmtId="165" formatCode="0.0"/>
    </dxf>
    <dxf>
      <numFmt numFmtId="2" formatCode="0.00"/>
    </dxf>
    <dxf>
      <numFmt numFmtId="166" formatCode="0.00000000"/>
    </dxf>
    <dxf>
      <numFmt numFmtId="167" formatCode="0.0000000"/>
    </dxf>
    <dxf>
      <numFmt numFmtId="168" formatCode="0.000000"/>
    </dxf>
    <dxf>
      <numFmt numFmtId="169" formatCode="0.00000"/>
    </dxf>
    <dxf>
      <numFmt numFmtId="170" formatCode="0.0000"/>
    </dxf>
    <dxf>
      <numFmt numFmtId="164" formatCode="0.000"/>
    </dxf>
    <dxf>
      <numFmt numFmtId="2" formatCode="0.00"/>
    </dxf>
    <dxf>
      <numFmt numFmtId="1" formatCode="0"/>
    </dxf>
    <dxf>
      <numFmt numFmtId="165" formatCode="0.0"/>
    </dxf>
    <dxf>
      <numFmt numFmtId="2" formatCode="0.00"/>
    </dxf>
    <dxf>
      <numFmt numFmtId="166" formatCode="0.00000000"/>
    </dxf>
    <dxf>
      <numFmt numFmtId="167" formatCode="0.0000000"/>
    </dxf>
    <dxf>
      <numFmt numFmtId="168" formatCode="0.000000"/>
    </dxf>
    <dxf>
      <numFmt numFmtId="169" formatCode="0.00000"/>
    </dxf>
    <dxf>
      <numFmt numFmtId="170" formatCode="0.0000"/>
    </dxf>
    <dxf>
      <numFmt numFmtId="164" formatCode="0.000"/>
    </dxf>
    <dxf>
      <numFmt numFmtId="2" formatCode="0.00"/>
    </dxf>
    <dxf>
      <numFmt numFmtId="1" formatCode="0"/>
    </dxf>
    <dxf>
      <numFmt numFmtId="165" formatCode="0.0"/>
    </dxf>
    <dxf>
      <numFmt numFmtId="2" formatCode="0.00"/>
    </dxf>
    <dxf>
      <numFmt numFmtId="1" formatCode="0"/>
    </dxf>
    <dxf>
      <numFmt numFmtId="165" formatCode="0.0"/>
    </dxf>
    <dxf>
      <numFmt numFmtId="2" formatCode="0.00"/>
    </dxf>
    <dxf>
      <numFmt numFmtId="166" formatCode="0.00000000"/>
    </dxf>
    <dxf>
      <numFmt numFmtId="167" formatCode="0.0000000"/>
    </dxf>
    <dxf>
      <numFmt numFmtId="168" formatCode="0.000000"/>
    </dxf>
    <dxf>
      <numFmt numFmtId="169" formatCode="0.00000"/>
    </dxf>
    <dxf>
      <numFmt numFmtId="170" formatCode="0.0000"/>
    </dxf>
    <dxf>
      <numFmt numFmtId="164" formatCode="0.000"/>
    </dxf>
    <dxf>
      <numFmt numFmtId="2" formatCode="0.00"/>
    </dxf>
    <dxf>
      <numFmt numFmtId="1" formatCode="0"/>
    </dxf>
    <dxf>
      <numFmt numFmtId="165" formatCode="0.0"/>
    </dxf>
    <dxf>
      <numFmt numFmtId="2" formatCode="0.00"/>
    </dxf>
    <dxf>
      <numFmt numFmtId="166" formatCode="0.00000000"/>
    </dxf>
    <dxf>
      <numFmt numFmtId="167" formatCode="0.0000000"/>
    </dxf>
    <dxf>
      <numFmt numFmtId="168" formatCode="0.000000"/>
    </dxf>
    <dxf>
      <numFmt numFmtId="169" formatCode="0.00000"/>
    </dxf>
    <dxf>
      <numFmt numFmtId="170" formatCode="0.0000"/>
    </dxf>
    <dxf>
      <numFmt numFmtId="164" formatCode="0.000"/>
    </dxf>
    <dxf>
      <numFmt numFmtId="2" formatCode="0.00"/>
    </dxf>
    <dxf>
      <numFmt numFmtId="1" formatCode="0"/>
    </dxf>
    <dxf>
      <numFmt numFmtId="165" formatCode="0.0"/>
    </dxf>
    <dxf>
      <numFmt numFmtId="2" formatCode="0.00"/>
    </dxf>
    <dxf>
      <numFmt numFmtId="1" formatCode="0"/>
    </dxf>
    <dxf>
      <numFmt numFmtId="165" formatCode="0.0"/>
    </dxf>
    <dxf>
      <numFmt numFmtId="2" formatCode="0.00"/>
    </dxf>
    <dxf>
      <numFmt numFmtId="166" formatCode="0.00000000"/>
    </dxf>
    <dxf>
      <numFmt numFmtId="167" formatCode="0.0000000"/>
    </dxf>
    <dxf>
      <numFmt numFmtId="168" formatCode="0.000000"/>
    </dxf>
    <dxf>
      <numFmt numFmtId="169" formatCode="0.00000"/>
    </dxf>
    <dxf>
      <numFmt numFmtId="170" formatCode="0.0000"/>
    </dxf>
    <dxf>
      <numFmt numFmtId="164" formatCode="0.000"/>
    </dxf>
    <dxf>
      <numFmt numFmtId="2" formatCode="0.00"/>
    </dxf>
    <dxf>
      <numFmt numFmtId="1" formatCode="0"/>
    </dxf>
    <dxf>
      <numFmt numFmtId="165" formatCode="0.0"/>
    </dxf>
    <dxf>
      <numFmt numFmtId="2" formatCode="0.00"/>
    </dxf>
    <dxf>
      <numFmt numFmtId="166" formatCode="0.00000000"/>
    </dxf>
    <dxf>
      <numFmt numFmtId="167" formatCode="0.0000000"/>
    </dxf>
    <dxf>
      <numFmt numFmtId="168" formatCode="0.000000"/>
    </dxf>
    <dxf>
      <numFmt numFmtId="169" formatCode="0.00000"/>
    </dxf>
    <dxf>
      <numFmt numFmtId="170" formatCode="0.0000"/>
    </dxf>
    <dxf>
      <numFmt numFmtId="164" formatCode="0.000"/>
    </dxf>
    <dxf>
      <numFmt numFmtId="2" formatCode="0.00"/>
    </dxf>
    <dxf>
      <numFmt numFmtId="1" formatCode="0"/>
    </dxf>
    <dxf>
      <numFmt numFmtId="165" formatCode="0.0"/>
    </dxf>
    <dxf>
      <numFmt numFmtId="2" formatCode="0.00"/>
    </dxf>
    <dxf>
      <numFmt numFmtId="1" formatCode="0"/>
    </dxf>
    <dxf>
      <numFmt numFmtId="165" formatCode="0.0"/>
    </dxf>
    <dxf>
      <numFmt numFmtId="2" formatCode="0.00"/>
    </dxf>
    <dxf>
      <numFmt numFmtId="166" formatCode="0.00000000"/>
    </dxf>
    <dxf>
      <numFmt numFmtId="167" formatCode="0.0000000"/>
    </dxf>
    <dxf>
      <numFmt numFmtId="168" formatCode="0.000000"/>
    </dxf>
    <dxf>
      <numFmt numFmtId="169" formatCode="0.00000"/>
    </dxf>
    <dxf>
      <numFmt numFmtId="170" formatCode="0.0000"/>
    </dxf>
    <dxf>
      <numFmt numFmtId="164" formatCode="0.000"/>
    </dxf>
    <dxf>
      <numFmt numFmtId="2" formatCode="0.00"/>
    </dxf>
    <dxf>
      <numFmt numFmtId="1" formatCode="0"/>
    </dxf>
    <dxf>
      <numFmt numFmtId="165" formatCode="0.0"/>
    </dxf>
    <dxf>
      <numFmt numFmtId="2" formatCode="0.00"/>
    </dxf>
    <dxf>
      <numFmt numFmtId="166" formatCode="0.00000000"/>
    </dxf>
    <dxf>
      <numFmt numFmtId="167" formatCode="0.0000000"/>
    </dxf>
    <dxf>
      <numFmt numFmtId="168" formatCode="0.000000"/>
    </dxf>
    <dxf>
      <numFmt numFmtId="169" formatCode="0.00000"/>
    </dxf>
    <dxf>
      <numFmt numFmtId="170" formatCode="0.0000"/>
    </dxf>
    <dxf>
      <numFmt numFmtId="164" formatCode="0.000"/>
    </dxf>
    <dxf>
      <numFmt numFmtId="2" formatCode="0.00"/>
    </dxf>
    <dxf>
      <numFmt numFmtId="1" formatCode="0"/>
    </dxf>
    <dxf>
      <numFmt numFmtId="165" formatCode="0.0"/>
    </dxf>
    <dxf>
      <numFmt numFmtId="2" formatCode="0.00"/>
    </dxf>
    <dxf>
      <numFmt numFmtId="1" formatCode="0"/>
    </dxf>
    <dxf>
      <numFmt numFmtId="165" formatCode="0.0"/>
    </dxf>
    <dxf>
      <numFmt numFmtId="2" formatCode="0.00"/>
    </dxf>
    <dxf>
      <numFmt numFmtId="166" formatCode="0.00000000"/>
    </dxf>
    <dxf>
      <numFmt numFmtId="167" formatCode="0.0000000"/>
    </dxf>
    <dxf>
      <numFmt numFmtId="168" formatCode="0.000000"/>
    </dxf>
    <dxf>
      <numFmt numFmtId="169" formatCode="0.00000"/>
    </dxf>
    <dxf>
      <numFmt numFmtId="170" formatCode="0.0000"/>
    </dxf>
    <dxf>
      <numFmt numFmtId="164" formatCode="0.000"/>
    </dxf>
    <dxf>
      <numFmt numFmtId="2" formatCode="0.00"/>
    </dxf>
    <dxf>
      <numFmt numFmtId="1" formatCode="0"/>
    </dxf>
    <dxf>
      <numFmt numFmtId="165" formatCode="0.0"/>
    </dxf>
    <dxf>
      <numFmt numFmtId="2" formatCode="0.00"/>
    </dxf>
    <dxf>
      <numFmt numFmtId="166" formatCode="0.00000000"/>
    </dxf>
    <dxf>
      <numFmt numFmtId="167" formatCode="0.0000000"/>
    </dxf>
    <dxf>
      <numFmt numFmtId="168" formatCode="0.000000"/>
    </dxf>
    <dxf>
      <numFmt numFmtId="169" formatCode="0.00000"/>
    </dxf>
    <dxf>
      <numFmt numFmtId="170" formatCode="0.0000"/>
    </dxf>
    <dxf>
      <numFmt numFmtId="164" formatCode="0.000"/>
    </dxf>
    <dxf>
      <numFmt numFmtId="2" formatCode="0.00"/>
    </dxf>
    <dxf>
      <numFmt numFmtId="1" formatCode="0"/>
    </dxf>
    <dxf>
      <numFmt numFmtId="165" formatCode="0.0"/>
    </dxf>
    <dxf>
      <numFmt numFmtId="2" formatCode="0.00"/>
    </dxf>
    <dxf>
      <numFmt numFmtId="166" formatCode="0.00000000"/>
    </dxf>
    <dxf>
      <numFmt numFmtId="167" formatCode="0.0000000"/>
    </dxf>
    <dxf>
      <numFmt numFmtId="168" formatCode="0.000000"/>
    </dxf>
    <dxf>
      <numFmt numFmtId="169" formatCode="0.00000"/>
    </dxf>
    <dxf>
      <numFmt numFmtId="170" formatCode="0.0000"/>
    </dxf>
    <dxf>
      <numFmt numFmtId="164" formatCode="0.000"/>
    </dxf>
    <dxf>
      <numFmt numFmtId="2" formatCode="0.00"/>
    </dxf>
    <dxf>
      <numFmt numFmtId="1" formatCode="0"/>
    </dxf>
    <dxf>
      <numFmt numFmtId="165" formatCode="0.0"/>
    </dxf>
    <dxf>
      <numFmt numFmtId="2" formatCode="0.00"/>
    </dxf>
    <dxf>
      <numFmt numFmtId="1" formatCode="0"/>
    </dxf>
    <dxf>
      <numFmt numFmtId="165" formatCode="0.0"/>
    </dxf>
    <dxf>
      <numFmt numFmtId="2" formatCode="0.00"/>
    </dxf>
    <dxf>
      <numFmt numFmtId="166" formatCode="0.00000000"/>
    </dxf>
    <dxf>
      <numFmt numFmtId="167" formatCode="0.0000000"/>
    </dxf>
    <dxf>
      <numFmt numFmtId="168" formatCode="0.000000"/>
    </dxf>
    <dxf>
      <numFmt numFmtId="169" formatCode="0.00000"/>
    </dxf>
    <dxf>
      <numFmt numFmtId="170" formatCode="0.0000"/>
    </dxf>
    <dxf>
      <numFmt numFmtId="164" formatCode="0.000"/>
    </dxf>
    <dxf>
      <numFmt numFmtId="2" formatCode="0.00"/>
    </dxf>
    <dxf>
      <numFmt numFmtId="1" formatCode="0"/>
    </dxf>
    <dxf>
      <numFmt numFmtId="165" formatCode="0.0"/>
    </dxf>
    <dxf>
      <numFmt numFmtId="2" formatCode="0.00"/>
    </dxf>
    <dxf>
      <numFmt numFmtId="166" formatCode="0.00000000"/>
    </dxf>
    <dxf>
      <numFmt numFmtId="167" formatCode="0.0000000"/>
    </dxf>
    <dxf>
      <numFmt numFmtId="168" formatCode="0.000000"/>
    </dxf>
    <dxf>
      <numFmt numFmtId="169" formatCode="0.00000"/>
    </dxf>
    <dxf>
      <numFmt numFmtId="170" formatCode="0.0000"/>
    </dxf>
    <dxf>
      <numFmt numFmtId="164" formatCode="0.000"/>
    </dxf>
    <dxf>
      <numFmt numFmtId="2" formatCode="0.00"/>
    </dxf>
    <dxf>
      <numFmt numFmtId="1" formatCode="0"/>
    </dxf>
    <dxf>
      <numFmt numFmtId="165" formatCode="0.0"/>
    </dxf>
    <dxf>
      <numFmt numFmtId="2" formatCode="0.00"/>
    </dxf>
    <dxf>
      <numFmt numFmtId="166" formatCode="0.00000000"/>
    </dxf>
    <dxf>
      <numFmt numFmtId="167" formatCode="0.0000000"/>
    </dxf>
    <dxf>
      <numFmt numFmtId="168" formatCode="0.000000"/>
    </dxf>
    <dxf>
      <numFmt numFmtId="169" formatCode="0.00000"/>
    </dxf>
    <dxf>
      <numFmt numFmtId="170" formatCode="0.0000"/>
    </dxf>
    <dxf>
      <numFmt numFmtId="164" formatCode="0.000"/>
    </dxf>
    <dxf>
      <numFmt numFmtId="2" formatCode="0.00"/>
    </dxf>
    <dxf>
      <numFmt numFmtId="1" formatCode="0"/>
    </dxf>
    <dxf>
      <numFmt numFmtId="165" formatCode="0.0"/>
    </dxf>
    <dxf>
      <numFmt numFmtId="2" formatCode="0.00"/>
    </dxf>
    <dxf>
      <numFmt numFmtId="166" formatCode="0.00000000"/>
    </dxf>
    <dxf>
      <numFmt numFmtId="167" formatCode="0.0000000"/>
    </dxf>
    <dxf>
      <numFmt numFmtId="168" formatCode="0.000000"/>
    </dxf>
    <dxf>
      <numFmt numFmtId="169" formatCode="0.00000"/>
    </dxf>
    <dxf>
      <numFmt numFmtId="170" formatCode="0.0000"/>
    </dxf>
    <dxf>
      <numFmt numFmtId="164" formatCode="0.000"/>
    </dxf>
    <dxf>
      <numFmt numFmtId="2" formatCode="0.00"/>
    </dxf>
    <dxf>
      <numFmt numFmtId="2" formatCode="0.00"/>
    </dxf>
    <dxf>
      <numFmt numFmtId="164" formatCode="0.000"/>
    </dxf>
    <dxf>
      <numFmt numFmtId="170" formatCode="0.0000"/>
    </dxf>
    <dxf>
      <numFmt numFmtId="169" formatCode="0.00000"/>
    </dxf>
    <dxf>
      <numFmt numFmtId="168" formatCode="0.000000"/>
    </dxf>
    <dxf>
      <numFmt numFmtId="167" formatCode="0.0000000"/>
    </dxf>
    <dxf>
      <numFmt numFmtId="166" formatCode="0.00000000"/>
    </dxf>
    <dxf>
      <numFmt numFmtId="2" formatCode="0.00"/>
    </dxf>
    <dxf>
      <numFmt numFmtId="165" formatCode="0.0"/>
    </dxf>
    <dxf>
      <numFmt numFmtId="1" formatCode="0"/>
    </dxf>
    <dxf>
      <numFmt numFmtId="1" formatCode="0"/>
    </dxf>
    <dxf>
      <numFmt numFmtId="165" formatCode="0.0"/>
    </dxf>
    <dxf>
      <numFmt numFmtId="2" formatCode="0.00"/>
    </dxf>
    <dxf>
      <numFmt numFmtId="2" formatCode="0.00"/>
    </dxf>
    <dxf>
      <numFmt numFmtId="165" formatCode="0.0"/>
    </dxf>
    <dxf>
      <numFmt numFmtId="1" formatCode="0"/>
    </dxf>
    <dxf>
      <font>
        <b/>
      </font>
      <numFmt numFmtId="2" formatCode="0.00"/>
      <alignment horizontal="center" vertical="center" textRotation="0" wrapText="0" indent="0" justifyLastLine="0" shrinkToFit="0" readingOrder="0"/>
    </dxf>
    <dxf>
      <font>
        <b/>
      </font>
      <numFmt numFmtId="2" formatCode="0.00"/>
      <alignment horizontal="center" vertical="center" textRotation="0" wrapText="0" indent="0" justifyLastLine="0" shrinkToFit="0" readingOrder="0"/>
    </dxf>
    <dxf>
      <font>
        <b/>
        <i val="0"/>
        <strike val="0"/>
        <condense val="0"/>
        <extend val="0"/>
        <outline val="0"/>
        <shadow val="0"/>
        <u val="none"/>
        <vertAlign val="baseline"/>
        <sz val="11"/>
        <color theme="1"/>
        <name val="Calibri"/>
        <scheme val="minor"/>
      </font>
      <numFmt numFmtId="1" formatCode="0"/>
      <alignment horizontal="center" vertical="center" textRotation="0" wrapText="0" indent="0" justifyLastLine="0" shrinkToFit="0" readingOrder="0"/>
    </dxf>
    <dxf>
      <font>
        <b/>
      </font>
      <numFmt numFmtId="30" formatCode="@"/>
      <alignment horizontal="center" vertical="center" textRotation="0" wrapText="0" indent="0" justifyLastLine="0" shrinkToFit="0" readingOrder="0"/>
    </dxf>
    <dxf>
      <numFmt numFmtId="0" formatCode="General"/>
    </dxf>
    <dxf>
      <font>
        <b/>
      </font>
      <numFmt numFmtId="0" formatCode="@"/>
      <alignment horizontal="center" vertical="center" textRotation="0" wrapText="0" indent="0" justifyLastLine="0" shrinkToFit="0" readingOrder="0"/>
    </dxf>
    <dxf>
      <font>
        <b/>
      </font>
      <numFmt numFmtId="30" formatCode="@"/>
      <alignment horizontal="center" vertical="center" textRotation="0" wrapText="0" indent="0" justifyLastLine="0" shrinkToFit="0" readingOrder="0"/>
    </dxf>
    <dxf>
      <font>
        <b/>
      </font>
      <numFmt numFmtId="30" formatCode="@"/>
      <alignment horizontal="center" vertical="center" textRotation="0" wrapText="0" indent="0" justifyLastLine="0" shrinkToFit="0" readingOrder="0"/>
    </dxf>
    <dxf>
      <font>
        <b/>
      </font>
      <numFmt numFmtId="30" formatCode="@"/>
      <alignment horizontal="center" vertical="center" textRotation="0" wrapText="0" indent="0" justifyLastLine="0" shrinkToFit="0" readingOrder="0"/>
    </dxf>
    <dxf>
      <font>
        <b/>
      </font>
      <numFmt numFmtId="30" formatCode="@"/>
      <alignment horizontal="center" vertical="center" textRotation="0" wrapText="0" indent="0" justifyLastLine="0" shrinkToFit="0" readingOrder="0"/>
    </dxf>
    <dxf>
      <font>
        <b/>
      </font>
      <numFmt numFmtId="30" formatCode="@"/>
      <alignment horizontal="center" vertical="center" textRotation="0" wrapText="0" indent="0" justifyLastLine="0" shrinkToFit="0" readingOrder="0"/>
    </dxf>
    <dxf>
      <font>
        <b/>
      </font>
      <numFmt numFmtId="30" formatCode="@"/>
      <alignment horizontal="center" vertical="center" textRotation="0" wrapText="0" indent="0" justifyLastLine="0" shrinkToFit="0" readingOrder="0"/>
    </dxf>
    <dxf>
      <font>
        <b/>
      </font>
      <numFmt numFmtId="30" formatCode="@"/>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[SMART_LIBRARY_EXCEL.xlsx]Sheet1!PivotTable1</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Sheet1!$A$4:$A$7</c:f>
              <c:strCache>
                <c:ptCount val="3"/>
                <c:pt idx="0">
                  <c:v>Finance</c:v>
                </c:pt>
                <c:pt idx="1">
                  <c:v>History</c:v>
                </c:pt>
                <c:pt idx="2">
                  <c:v>Mystery</c:v>
                </c:pt>
              </c:strCache>
            </c:strRef>
          </c:cat>
          <c:val>
            <c:numRef>
              <c:f>Sheet1!$B$4:$B$7</c:f>
              <c:numCache>
                <c:formatCode>General</c:formatCode>
                <c:ptCount val="3"/>
                <c:pt idx="0">
                  <c:v>3</c:v>
                </c:pt>
                <c:pt idx="1">
                  <c:v>4</c:v>
                </c:pt>
                <c:pt idx="2">
                  <c:v>7</c:v>
                </c:pt>
              </c:numCache>
            </c:numRef>
          </c:val>
          <c:extLst>
            <c:ext xmlns:c16="http://schemas.microsoft.com/office/drawing/2014/chart" uri="{C3380CC4-5D6E-409C-BE32-E72D297353CC}">
              <c16:uniqueId val="{00000000-5D62-48B1-A46D-888EA2B48DE5}"/>
            </c:ext>
          </c:extLst>
        </c:ser>
        <c:dLbls>
          <c:showLegendKey val="0"/>
          <c:showVal val="0"/>
          <c:showCatName val="0"/>
          <c:showSerName val="0"/>
          <c:showPercent val="0"/>
          <c:showBubbleSize val="0"/>
        </c:dLbls>
        <c:gapWidth val="219"/>
        <c:overlap val="-27"/>
        <c:axId val="212630399"/>
        <c:axId val="212615007"/>
      </c:barChart>
      <c:catAx>
        <c:axId val="212630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15007"/>
        <c:crosses val="autoZero"/>
        <c:auto val="1"/>
        <c:lblAlgn val="ctr"/>
        <c:lblOffset val="100"/>
        <c:noMultiLvlLbl val="0"/>
      </c:catAx>
      <c:valAx>
        <c:axId val="212615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3039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[SMART_LIBRARY_EXCEL.xlsx]Sheet3!PivotTable3</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Sheet3!$A$4:$A$7</c:f>
              <c:strCache>
                <c:ptCount val="3"/>
                <c:pt idx="0">
                  <c:v>Finance</c:v>
                </c:pt>
                <c:pt idx="1">
                  <c:v>History</c:v>
                </c:pt>
                <c:pt idx="2">
                  <c:v>Mystery</c:v>
                </c:pt>
              </c:strCache>
            </c:strRef>
          </c:cat>
          <c:val>
            <c:numRef>
              <c:f>Sheet3!$B$4:$B$7</c:f>
              <c:numCache>
                <c:formatCode>0.00</c:formatCode>
                <c:ptCount val="3"/>
                <c:pt idx="0">
                  <c:v>4.5</c:v>
                </c:pt>
                <c:pt idx="1">
                  <c:v>4.5</c:v>
                </c:pt>
                <c:pt idx="2">
                  <c:v>4.4714285714285706</c:v>
                </c:pt>
              </c:numCache>
            </c:numRef>
          </c:val>
          <c:extLst>
            <c:ext xmlns:c16="http://schemas.microsoft.com/office/drawing/2014/chart" uri="{C3380CC4-5D6E-409C-BE32-E72D297353CC}">
              <c16:uniqueId val="{00000000-B6D7-4C34-A610-C33693B31F92}"/>
            </c:ext>
          </c:extLst>
        </c:ser>
        <c:dLbls>
          <c:showLegendKey val="0"/>
          <c:showVal val="0"/>
          <c:showCatName val="0"/>
          <c:showSerName val="0"/>
          <c:showPercent val="0"/>
          <c:showBubbleSize val="0"/>
        </c:dLbls>
        <c:gapWidth val="219"/>
        <c:overlap val="-27"/>
        <c:axId val="212617919"/>
        <c:axId val="212624991"/>
      </c:barChart>
      <c:catAx>
        <c:axId val="21261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24991"/>
        <c:crosses val="autoZero"/>
        <c:auto val="1"/>
        <c:lblAlgn val="ctr"/>
        <c:lblOffset val="100"/>
        <c:noMultiLvlLbl val="0"/>
      </c:catAx>
      <c:valAx>
        <c:axId val="2126249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1791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[SMART_LIBRARY_EXCEL.xlsx]Sheet3!PivotTable3</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Sheet3!$A$4:$A$7</c:f>
              <c:strCache>
                <c:ptCount val="3"/>
                <c:pt idx="0">
                  <c:v>Finance</c:v>
                </c:pt>
                <c:pt idx="1">
                  <c:v>History</c:v>
                </c:pt>
                <c:pt idx="2">
                  <c:v>Mystery</c:v>
                </c:pt>
              </c:strCache>
            </c:strRef>
          </c:cat>
          <c:val>
            <c:numRef>
              <c:f>Sheet3!$B$4:$B$7</c:f>
              <c:numCache>
                <c:formatCode>0.00</c:formatCode>
                <c:ptCount val="3"/>
                <c:pt idx="0">
                  <c:v>4.5</c:v>
                </c:pt>
                <c:pt idx="1">
                  <c:v>4.5</c:v>
                </c:pt>
                <c:pt idx="2">
                  <c:v>4.4714285714285706</c:v>
                </c:pt>
              </c:numCache>
            </c:numRef>
          </c:val>
          <c:extLst>
            <c:ext xmlns:c16="http://schemas.microsoft.com/office/drawing/2014/chart" uri="{C3380CC4-5D6E-409C-BE32-E72D297353CC}">
              <c16:uniqueId val="{00000000-7B8B-4F2D-A4EA-013159606898}"/>
            </c:ext>
          </c:extLst>
        </c:ser>
        <c:dLbls>
          <c:showLegendKey val="0"/>
          <c:showVal val="0"/>
          <c:showCatName val="0"/>
          <c:showSerName val="0"/>
          <c:showPercent val="0"/>
          <c:showBubbleSize val="0"/>
        </c:dLbls>
        <c:gapWidth val="219"/>
        <c:overlap val="-27"/>
        <c:axId val="212617919"/>
        <c:axId val="212624991"/>
      </c:barChart>
      <c:catAx>
        <c:axId val="21261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24991"/>
        <c:crosses val="autoZero"/>
        <c:auto val="1"/>
        <c:lblAlgn val="ctr"/>
        <c:lblOffset val="100"/>
        <c:noMultiLvlLbl val="0"/>
      </c:catAx>
      <c:valAx>
        <c:axId val="2126249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1791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[SMART_LIBRARY_EXCEL.xlsx]Sheet1!PivotTable1</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Sheet1!$A$4:$A$7</c:f>
              <c:strCache>
                <c:ptCount val="3"/>
                <c:pt idx="0">
                  <c:v>Finance</c:v>
                </c:pt>
                <c:pt idx="1">
                  <c:v>History</c:v>
                </c:pt>
                <c:pt idx="2">
                  <c:v>Mystery</c:v>
                </c:pt>
              </c:strCache>
            </c:strRef>
          </c:cat>
          <c:val>
            <c:numRef>
              <c:f>Sheet1!$B$4:$B$7</c:f>
              <c:numCache>
                <c:formatCode>General</c:formatCode>
                <c:ptCount val="3"/>
                <c:pt idx="0">
                  <c:v>3</c:v>
                </c:pt>
                <c:pt idx="1">
                  <c:v>4</c:v>
                </c:pt>
                <c:pt idx="2">
                  <c:v>7</c:v>
                </c:pt>
              </c:numCache>
            </c:numRef>
          </c:val>
          <c:extLst>
            <c:ext xmlns:c16="http://schemas.microsoft.com/office/drawing/2014/chart" uri="{C3380CC4-5D6E-409C-BE32-E72D297353CC}">
              <c16:uniqueId val="{00000000-0AD0-460C-B439-F9851179CBE6}"/>
            </c:ext>
          </c:extLst>
        </c:ser>
        <c:dLbls>
          <c:showLegendKey val="0"/>
          <c:showVal val="0"/>
          <c:showCatName val="0"/>
          <c:showSerName val="0"/>
          <c:showPercent val="0"/>
          <c:showBubbleSize val="0"/>
        </c:dLbls>
        <c:gapWidth val="219"/>
        <c:overlap val="-27"/>
        <c:axId val="212630399"/>
        <c:axId val="212615007"/>
      </c:barChart>
      <c:catAx>
        <c:axId val="212630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15007"/>
        <c:crosses val="autoZero"/>
        <c:auto val="1"/>
        <c:lblAlgn val="ctr"/>
        <c:lblOffset val="100"/>
        <c:noMultiLvlLbl val="0"/>
      </c:catAx>
      <c:valAx>
        <c:axId val="212615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3039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119062</xdr:colOff>
      <xdr:row>4</xdr:row>
      <xdr:rowOff>114300</xdr:rowOff>
    </xdr:from>
    <xdr:to>
      <xdr:col>10</xdr:col>
      <xdr:colOff>423862</xdr:colOff>
      <xdr:row>19</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119061</xdr:colOff>
      <xdr:row>4</xdr:row>
      <xdr:rowOff>114299</xdr:rowOff>
    </xdr:from>
    <xdr:to>
      <xdr:col>11</xdr:col>
      <xdr:colOff>390524</xdr:colOff>
      <xdr:row>19</xdr:row>
      <xdr:rowOff>66674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326833</xdr:colOff>
      <xdr:row>4</xdr:row>
      <xdr:rowOff>162728</xdr:rowOff>
    </xdr:from>
    <xdr:to>
      <xdr:col>16</xdr:col>
      <xdr:colOff>330964</xdr:colOff>
      <xdr:row>17</xdr:row>
      <xdr:rowOff>150678</xdr:rowOff>
    </xdr:to>
    <mc:AlternateContent xmlns:mc="http://schemas.openxmlformats.org/markup-compatibility/2006">
      <mc:Choice xmlns:a14="http://schemas.microsoft.com/office/drawing/2010/main" Requires="a14">
        <xdr:graphicFrame macro="">
          <xdr:nvGraphicFramePr>
            <xdr:cNvPr id="3"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014092" y="943089"/>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6</xdr:row>
      <xdr:rowOff>47625</xdr:rowOff>
    </xdr:from>
    <xdr:to>
      <xdr:col>4</xdr:col>
      <xdr:colOff>123825</xdr:colOff>
      <xdr:row>21</xdr:row>
      <xdr:rowOff>2181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200024</xdr:colOff>
      <xdr:row>6</xdr:row>
      <xdr:rowOff>57149</xdr:rowOff>
    </xdr:from>
    <xdr:to>
      <xdr:col>10</xdr:col>
      <xdr:colOff>514349</xdr:colOff>
      <xdr:row>20</xdr:row>
      <xdr:rowOff>161924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470647</xdr:colOff>
      <xdr:row>11</xdr:row>
      <xdr:rowOff>156883</xdr:rowOff>
    </xdr:from>
    <xdr:to>
      <xdr:col>14</xdr:col>
      <xdr:colOff>134471</xdr:colOff>
      <xdr:row>21</xdr:row>
      <xdr:rowOff>156883</xdr:rowOff>
    </xdr:to>
    <mc:AlternateContent xmlns:mc="http://schemas.openxmlformats.org/markup-compatibility/2006">
      <mc:Choice xmlns:a14="http://schemas.microsoft.com/office/drawing/2010/main" Requires="a14">
        <xdr:graphicFrame macro="">
          <xdr:nvGraphicFramePr>
            <xdr:cNvPr id="5"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0197353" y="2353236"/>
              <a:ext cx="2241177" cy="1905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ohmm" refreshedDate="46251.854576967591" createdVersion="6" refreshedVersion="6" minRefreshableVersion="3" recordCount="110">
  <cacheSource type="worksheet">
    <worksheetSource name="books"/>
  </cacheSource>
  <cacheFields count="10">
    <cacheField name="book_id" numFmtId="49">
      <sharedItems/>
    </cacheField>
    <cacheField name="title" numFmtId="49">
      <sharedItems/>
    </cacheField>
    <cacheField name="author" numFmtId="49">
      <sharedItems/>
    </cacheField>
    <cacheField name="category" numFmtId="49">
      <sharedItems count="23">
        <s v="Fantasy"/>
        <s v="Dystopian"/>
        <s v="Satire"/>
        <s v="Romance"/>
        <s v="Classic"/>
        <s v="Fiction"/>
        <s v="Science Fiction"/>
        <s v="History"/>
        <s v="Memoir"/>
        <s v="Self-Help"/>
        <s v="Productivity"/>
        <s v="Psychology"/>
        <s v="Finance"/>
        <s v="Business"/>
        <s v="Philosophy"/>
        <s v="Historical Fiction"/>
        <s v="Mystery"/>
        <s v="Horror"/>
        <s v="Technology"/>
        <s v="Biography"/>
        <s v="Science"/>
        <s v="Geography"/>
        <s v="Design"/>
      </sharedItems>
    </cacheField>
    <cacheField name="year" numFmtId="0">
      <sharedItems containsSemiMixedTypes="0" containsString="0" containsNumber="1" containsInteger="1" minValue="-500" maxValue="2021"/>
    </cacheField>
    <cacheField name="pages" numFmtId="0">
      <sharedItems containsSemiMixedTypes="0" containsString="0" containsNumber="1" containsInteger="1" minValue="96" maxValue="1225"/>
    </cacheField>
    <cacheField name="rating" numFmtId="0">
      <sharedItems containsSemiMixedTypes="0" containsString="0" containsNumber="1" minValue="4.0999999999999996" maxValue="4.9000000000000004"/>
    </cacheField>
    <cacheField name="cop_num" numFmtId="1">
      <sharedItems containsSemiMixedTypes="0" containsString="0" containsNumber="1" containsInteger="1" minValue="3" maxValue="8"/>
    </cacheField>
    <cacheField name="copies" numFmtId="2">
      <sharedItems/>
    </cacheField>
    <cacheField name="available_copies"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10">
  <r>
    <s v="1001"/>
    <s v="The Hobbit"/>
    <s v="J.R.R. Tolkien"/>
    <x v="0"/>
    <n v="1937"/>
    <n v="310"/>
    <n v="4.8"/>
    <n v="5"/>
    <s v="5"/>
    <n v="3"/>
  </r>
  <r>
    <s v="1002"/>
    <s v="1984"/>
    <s v="George Orwell"/>
    <x v="1"/>
    <n v="1949"/>
    <n v="328"/>
    <n v="4.7"/>
    <n v="6"/>
    <s v="6"/>
    <n v="2"/>
  </r>
  <r>
    <s v="1003"/>
    <s v="Animal Farm"/>
    <s v="George Orwell"/>
    <x v="2"/>
    <n v="1945"/>
    <n v="112"/>
    <n v="4.5999999999999996"/>
    <n v="4"/>
    <s v="4"/>
    <n v="4"/>
  </r>
  <r>
    <s v="1004"/>
    <s v="Pride and Prejudice"/>
    <s v="Jane Austen"/>
    <x v="3"/>
    <n v="1813"/>
    <n v="432"/>
    <n v="4.8"/>
    <n v="5"/>
    <s v="5"/>
    <n v="2"/>
  </r>
  <r>
    <s v="1005"/>
    <s v="The Great Gatsby"/>
    <s v="F. Scott Fitzgerald"/>
    <x v="4"/>
    <n v="1925"/>
    <n v="180"/>
    <n v="4.5"/>
    <n v="4"/>
    <s v="4"/>
    <n v="1"/>
  </r>
  <r>
    <s v="1006"/>
    <s v="To Kill a Mockingbird"/>
    <s v="Harper Lee"/>
    <x v="4"/>
    <n v="1960"/>
    <n v="336"/>
    <n v="4.8"/>
    <n v="6"/>
    <s v="6"/>
    <n v="4"/>
  </r>
  <r>
    <s v="1007"/>
    <s v="The Catcher in the Rye"/>
    <s v="J.D. Salinger"/>
    <x v="4"/>
    <n v="1951"/>
    <n v="277"/>
    <n v="4.2"/>
    <n v="4"/>
    <s v="4"/>
    <n v="2"/>
  </r>
  <r>
    <s v="1008"/>
    <s v="Brave New World"/>
    <s v="Aldous Huxley"/>
    <x v="1"/>
    <n v="1932"/>
    <n v="268"/>
    <n v="4.5"/>
    <n v="5"/>
    <s v="5"/>
    <n v="3"/>
  </r>
  <r>
    <s v="1009"/>
    <s v="Fahrenheit 451"/>
    <s v="Ray Bradbury"/>
    <x v="1"/>
    <n v="1953"/>
    <n v="249"/>
    <n v="4.5999999999999996"/>
    <n v="5"/>
    <s v="5"/>
    <n v="2"/>
  </r>
  <r>
    <s v="1010"/>
    <s v="The Alchemist"/>
    <s v="Paulo Coelho"/>
    <x v="5"/>
    <n v="1988"/>
    <n v="208"/>
    <n v="4.4000000000000004"/>
    <n v="7"/>
    <s v="7"/>
    <n v="5"/>
  </r>
  <r>
    <s v="1011"/>
    <s v="Harry Potter and the Philosopher's Stone"/>
    <s v="J.K. Rowling"/>
    <x v="0"/>
    <n v="1997"/>
    <n v="309"/>
    <n v="4.9000000000000004"/>
    <n v="8"/>
    <s v="8"/>
    <n v="5"/>
  </r>
  <r>
    <s v="1012"/>
    <s v="Harry Potter and the Chamber of Secrets"/>
    <s v="J.K. Rowling"/>
    <x v="0"/>
    <n v="1998"/>
    <n v="341"/>
    <n v="4.8"/>
    <n v="7"/>
    <s v="7"/>
    <n v="4"/>
  </r>
  <r>
    <s v="1013"/>
    <s v="Harry Potter and the Prisoner of Azkaban"/>
    <s v="J.K. Rowling"/>
    <x v="0"/>
    <n v="1999"/>
    <n v="435"/>
    <n v="4.9000000000000004"/>
    <n v="8"/>
    <s v="8"/>
    <n v="3"/>
  </r>
  <r>
    <s v="1014"/>
    <s v="Harry Potter and the Goblet of Fire"/>
    <s v="J.K. Rowling"/>
    <x v="0"/>
    <n v="2000"/>
    <n v="734"/>
    <n v="4.8"/>
    <n v="6"/>
    <s v="6"/>
    <n v="2"/>
  </r>
  <r>
    <s v="1015"/>
    <s v="The Fellowship of the Ring"/>
    <s v="J.R.R. Tolkien"/>
    <x v="0"/>
    <n v="1954"/>
    <n v="423"/>
    <n v="4.9000000000000004"/>
    <n v="7"/>
    <s v="7"/>
    <n v="3"/>
  </r>
  <r>
    <s v="1016"/>
    <s v="The Two Towers"/>
    <s v="J.R.R. Tolkien"/>
    <x v="0"/>
    <n v="1954"/>
    <n v="352"/>
    <n v="4.8"/>
    <n v="6"/>
    <s v="6"/>
    <n v="4"/>
  </r>
  <r>
    <s v="1017"/>
    <s v="The Return of the King"/>
    <s v="J.R.R. Tolkien"/>
    <x v="0"/>
    <n v="1955"/>
    <n v="416"/>
    <n v="4.9000000000000004"/>
    <n v="7"/>
    <s v="7"/>
    <n v="2"/>
  </r>
  <r>
    <s v="1018"/>
    <s v="Dune"/>
    <s v="Frank Herbert"/>
    <x v="6"/>
    <n v="1965"/>
    <n v="688"/>
    <n v="4.8"/>
    <n v="6"/>
    <s v="6"/>
    <n v="1"/>
  </r>
  <r>
    <s v="1019"/>
    <s v="Foundation"/>
    <s v="Isaac Asimov"/>
    <x v="6"/>
    <n v="1951"/>
    <n v="255"/>
    <n v="4.5999999999999996"/>
    <n v="4"/>
    <s v="4"/>
    <n v="2"/>
  </r>
  <r>
    <s v="1020"/>
    <s v="Neuromancer"/>
    <s v="William Gibson"/>
    <x v="6"/>
    <n v="1984"/>
    <n v="271"/>
    <n v="4.3"/>
    <n v="3"/>
    <s v="3"/>
    <n v="1"/>
  </r>
  <r>
    <s v="1021"/>
    <s v="The Martian"/>
    <s v="Andy Weir"/>
    <x v="6"/>
    <n v="2011"/>
    <n v="369"/>
    <n v="4.7"/>
    <n v="5"/>
    <s v="5"/>
    <n v="3"/>
  </r>
  <r>
    <s v="1022"/>
    <s v="Project Hail Mary"/>
    <s v="Andy Weir"/>
    <x v="6"/>
    <n v="2021"/>
    <n v="496"/>
    <n v="4.9000000000000004"/>
    <n v="6"/>
    <s v="6"/>
    <n v="4"/>
  </r>
  <r>
    <s v="1023"/>
    <s v="Sapiens"/>
    <s v="Yuval Noah Harari"/>
    <x v="7"/>
    <n v="2011"/>
    <n v="443"/>
    <n v="4.7"/>
    <n v="6"/>
    <s v="6"/>
    <n v="3"/>
  </r>
  <r>
    <s v="1024"/>
    <s v="Homo Deus"/>
    <s v="Yuval Noah Harari"/>
    <x v="7"/>
    <n v="2015"/>
    <n v="449"/>
    <n v="4.4000000000000004"/>
    <n v="4"/>
    <s v="4"/>
    <n v="2"/>
  </r>
  <r>
    <s v="1025"/>
    <s v="Educated"/>
    <s v="Tara Westover"/>
    <x v="8"/>
    <n v="2018"/>
    <n v="334"/>
    <n v="4.7"/>
    <n v="5"/>
    <s v="5"/>
    <n v="3"/>
  </r>
  <r>
    <s v="1026"/>
    <s v="Becoming"/>
    <s v="Michelle Obama"/>
    <x v="8"/>
    <n v="2018"/>
    <n v="448"/>
    <n v="4.7"/>
    <n v="5"/>
    <s v="5"/>
    <n v="2"/>
  </r>
  <r>
    <s v="1027"/>
    <s v="Atomic Habits"/>
    <s v="James Clear"/>
    <x v="9"/>
    <n v="2018"/>
    <n v="320"/>
    <n v="4.8"/>
    <n v="8"/>
    <s v="8"/>
    <n v="5"/>
  </r>
  <r>
    <s v="1028"/>
    <s v="Deep Work"/>
    <s v="Cal Newport"/>
    <x v="10"/>
    <n v="2016"/>
    <n v="296"/>
    <n v="4.5999999999999996"/>
    <n v="5"/>
    <s v="5"/>
    <n v="2"/>
  </r>
  <r>
    <s v="1029"/>
    <s v="The 7 Habits of Highly Effective People"/>
    <s v="Stephen R. Covey"/>
    <x v="9"/>
    <n v="1989"/>
    <n v="464"/>
    <n v="4.5999999999999996"/>
    <n v="5"/>
    <s v="5"/>
    <n v="1"/>
  </r>
  <r>
    <s v="1030"/>
    <s v="Thinking, Fast and Slow"/>
    <s v="Daniel Kahneman"/>
    <x v="11"/>
    <n v="2011"/>
    <n v="499"/>
    <n v="4.5"/>
    <n v="4"/>
    <s v="4"/>
    <n v="2"/>
  </r>
  <r>
    <s v="1031"/>
    <s v="The Psychology of Money"/>
    <s v="Morgan Housel"/>
    <x v="12"/>
    <n v="2020"/>
    <n v="256"/>
    <n v="4.7"/>
    <n v="7"/>
    <s v="7"/>
    <n v="4"/>
  </r>
  <r>
    <s v="1032"/>
    <s v="Rich Dad Poor Dad"/>
    <s v="Robert Kiyosaki"/>
    <x v="12"/>
    <n v="1997"/>
    <n v="336"/>
    <n v="4.3"/>
    <n v="6"/>
    <s v="6"/>
    <n v="3"/>
  </r>
  <r>
    <s v="1033"/>
    <s v="The Intelligent Investor"/>
    <s v="Benjamin Graham"/>
    <x v="12"/>
    <n v="1949"/>
    <n v="640"/>
    <n v="4.5"/>
    <n v="3"/>
    <s v="3"/>
    <n v="1"/>
  </r>
  <r>
    <s v="1034"/>
    <s v="Zero to One"/>
    <s v="Peter Thiel"/>
    <x v="13"/>
    <n v="2014"/>
    <n v="224"/>
    <n v="4.4000000000000004"/>
    <n v="4"/>
    <s v="4"/>
    <n v="2"/>
  </r>
  <r>
    <s v="1035"/>
    <s v="Good to Great"/>
    <s v="Jim Collins"/>
    <x v="13"/>
    <n v="2001"/>
    <n v="400"/>
    <n v="4.5"/>
    <n v="5"/>
    <s v="5"/>
    <n v="2"/>
  </r>
  <r>
    <s v="1036"/>
    <s v="The Lean Startup"/>
    <s v="Eric Ries"/>
    <x v="13"/>
    <n v="2011"/>
    <n v="336"/>
    <n v="4.4000000000000004"/>
    <n v="5"/>
    <s v="5"/>
    <n v="3"/>
  </r>
  <r>
    <s v="1037"/>
    <s v="Start with Why"/>
    <s v="Simon Sinek"/>
    <x v="13"/>
    <n v="2009"/>
    <n v="256"/>
    <n v="4.5"/>
    <n v="4"/>
    <s v="4"/>
    <n v="1"/>
  </r>
  <r>
    <s v="1038"/>
    <s v="Outliers"/>
    <s v="Malcolm Gladwell"/>
    <x v="11"/>
    <n v="2008"/>
    <n v="309"/>
    <n v="4.5"/>
    <n v="5"/>
    <s v="5"/>
    <n v="3"/>
  </r>
  <r>
    <s v="1039"/>
    <s v="Blink"/>
    <s v="Malcolm Gladwell"/>
    <x v="11"/>
    <n v="2005"/>
    <n v="296"/>
    <n v="4.2"/>
    <n v="4"/>
    <s v="4"/>
    <n v="2"/>
  </r>
  <r>
    <s v="1040"/>
    <s v="Man's Search for Meaning"/>
    <s v="Viktor E. Frankl"/>
    <x v="11"/>
    <n v="1946"/>
    <n v="165"/>
    <n v="4.8"/>
    <n v="5"/>
    <s v="5"/>
    <n v="4"/>
  </r>
  <r>
    <s v="1041"/>
    <s v="Meditations"/>
    <s v="Marcus Aurelius"/>
    <x v="14"/>
    <n v="180"/>
    <n v="254"/>
    <n v="4.7"/>
    <n v="4"/>
    <s v="4"/>
    <n v="2"/>
  </r>
  <r>
    <s v="1042"/>
    <s v="The Republic"/>
    <s v="Plato"/>
    <x v="14"/>
    <n v="-380"/>
    <n v="416"/>
    <n v="4.4000000000000004"/>
    <n v="3"/>
    <s v="3"/>
    <n v="1"/>
  </r>
  <r>
    <s v="1043"/>
    <s v="Thus Spoke Zarathustra"/>
    <s v="Friedrich Nietzsche"/>
    <x v="14"/>
    <n v="1883"/>
    <n v="352"/>
    <n v="4.3"/>
    <n v="3"/>
    <s v="3"/>
    <n v="2"/>
  </r>
  <r>
    <s v="1044"/>
    <s v="The Art of War"/>
    <s v="Sun Tzu"/>
    <x v="14"/>
    <n v="-500"/>
    <n v="273"/>
    <n v="4.5"/>
    <n v="5"/>
    <s v="5"/>
    <n v="3"/>
  </r>
  <r>
    <s v="1045"/>
    <s v="Crime and Punishment"/>
    <s v="Fyodor Dostoevsky"/>
    <x v="4"/>
    <n v="1866"/>
    <n v="671"/>
    <n v="4.7"/>
    <n v="4"/>
    <s v="4"/>
    <n v="2"/>
  </r>
  <r>
    <s v="1046"/>
    <s v="The Brothers Karamazov"/>
    <s v="Fyodor Dostoevsky"/>
    <x v="4"/>
    <n v="1880"/>
    <n v="796"/>
    <n v="4.8"/>
    <n v="3"/>
    <s v="3"/>
    <n v="1"/>
  </r>
  <r>
    <s v="1047"/>
    <s v="Anna Karenina"/>
    <s v="Leo Tolstoy"/>
    <x v="4"/>
    <n v="1878"/>
    <n v="864"/>
    <n v="4.5999999999999996"/>
    <n v="4"/>
    <s v="4"/>
    <n v="2"/>
  </r>
  <r>
    <s v="1048"/>
    <s v="War and Peace"/>
    <s v="Leo Tolstoy"/>
    <x v="4"/>
    <n v="1869"/>
    <n v="1225"/>
    <n v="4.7"/>
    <n v="3"/>
    <s v="3"/>
    <n v="1"/>
  </r>
  <r>
    <s v="1049"/>
    <s v="The Picture of Dorian Gray"/>
    <s v="Oscar Wilde"/>
    <x v="4"/>
    <n v="1890"/>
    <n v="254"/>
    <n v="4.5"/>
    <n v="4"/>
    <s v="4"/>
    <n v="3"/>
  </r>
  <r>
    <s v="1050"/>
    <s v="Jane Eyre"/>
    <s v="Charlotte Brontë"/>
    <x v="4"/>
    <n v="1847"/>
    <n v="532"/>
    <n v="4.7"/>
    <n v="5"/>
    <s v="5"/>
    <n v="2"/>
  </r>
  <r>
    <s v="1051"/>
    <s v="Wuthering Heights"/>
    <s v="Emily Brontë"/>
    <x v="4"/>
    <n v="1847"/>
    <n v="416"/>
    <n v="4.4000000000000004"/>
    <n v="4"/>
    <s v="4"/>
    <n v="2"/>
  </r>
  <r>
    <s v="1052"/>
    <s v="The Old Man and the Sea"/>
    <s v="Ernest Hemingway"/>
    <x v="4"/>
    <n v="1952"/>
    <n v="128"/>
    <n v="4.5"/>
    <n v="4"/>
    <s v="4"/>
    <n v="3"/>
  </r>
  <r>
    <s v="1053"/>
    <s v="For Whom the Bell Tolls"/>
    <s v="Ernest Hemingway"/>
    <x v="4"/>
    <n v="1940"/>
    <n v="480"/>
    <n v="4.3"/>
    <n v="3"/>
    <s v="3"/>
    <n v="1"/>
  </r>
  <r>
    <s v="1054"/>
    <s v="The Grapes of Wrath"/>
    <s v="John Steinbeck"/>
    <x v="4"/>
    <n v="1939"/>
    <n v="528"/>
    <n v="4.5999999999999996"/>
    <n v="4"/>
    <s v="4"/>
    <n v="2"/>
  </r>
  <r>
    <s v="1055"/>
    <s v="Of Mice and Men"/>
    <s v="John Steinbeck"/>
    <x v="4"/>
    <n v="1937"/>
    <n v="107"/>
    <n v="4.5"/>
    <n v="5"/>
    <s v="5"/>
    <n v="4"/>
  </r>
  <r>
    <s v="1056"/>
    <s v="The Road"/>
    <s v="Cormac McCarthy"/>
    <x v="1"/>
    <n v="2006"/>
    <n v="287"/>
    <n v="4.4000000000000004"/>
    <n v="4"/>
    <s v="4"/>
    <n v="1"/>
  </r>
  <r>
    <s v="1057"/>
    <s v="The Handmaid's Tale"/>
    <s v="Margaret Atwood"/>
    <x v="1"/>
    <n v="1985"/>
    <n v="311"/>
    <n v="4.5999999999999996"/>
    <n v="5"/>
    <s v="5"/>
    <n v="2"/>
  </r>
  <r>
    <s v="1058"/>
    <s v="Never Let Me Go"/>
    <s v="Kazuo Ishiguro"/>
    <x v="1"/>
    <n v="2005"/>
    <n v="288"/>
    <n v="4.3"/>
    <n v="4"/>
    <s v="4"/>
    <n v="2"/>
  </r>
  <r>
    <s v="1059"/>
    <s v="The Name of the Wind"/>
    <s v="Patrick Rothfuss"/>
    <x v="0"/>
    <n v="2007"/>
    <n v="662"/>
    <n v="4.8"/>
    <n v="5"/>
    <s v="5"/>
    <n v="2"/>
  </r>
  <r>
    <s v="1060"/>
    <s v="A Game of Thrones"/>
    <s v="George R.R. Martin"/>
    <x v="0"/>
    <n v="1996"/>
    <n v="694"/>
    <n v="4.8"/>
    <n v="8"/>
    <s v="8"/>
    <n v="3"/>
  </r>
  <r>
    <s v="1061"/>
    <s v="A Clash of Kings"/>
    <s v="George R.R. Martin"/>
    <x v="0"/>
    <n v="1998"/>
    <n v="768"/>
    <n v="4.7"/>
    <n v="6"/>
    <s v="6"/>
    <n v="2"/>
  </r>
  <r>
    <s v="1062"/>
    <s v="The Lion, the Witch and the Wardrobe"/>
    <s v="C.S. Lewis"/>
    <x v="0"/>
    <n v="1950"/>
    <n v="208"/>
    <n v="4.7"/>
    <n v="6"/>
    <s v="6"/>
    <n v="4"/>
  </r>
  <r>
    <s v="1063"/>
    <s v="The Chronicles of Narnia"/>
    <s v="C.S. Lewis"/>
    <x v="0"/>
    <n v="1956"/>
    <n v="767"/>
    <n v="4.8"/>
    <n v="5"/>
    <s v="5"/>
    <n v="3"/>
  </r>
  <r>
    <s v="1064"/>
    <s v="The Little Prince"/>
    <s v="Antoine de Saint-Exupéry"/>
    <x v="5"/>
    <n v="1943"/>
    <n v="96"/>
    <n v="4.8"/>
    <n v="8"/>
    <s v="8"/>
    <n v="5"/>
  </r>
  <r>
    <s v="1065"/>
    <s v="The Kite Runner"/>
    <s v="Khaled Hosseini"/>
    <x v="5"/>
    <n v="2003"/>
    <n v="371"/>
    <n v="4.7"/>
    <n v="5"/>
    <s v="5"/>
    <n v="2"/>
  </r>
  <r>
    <s v="1066"/>
    <s v="A Thousand Splendid Suns"/>
    <s v="Khaled Hosseini"/>
    <x v="5"/>
    <n v="2007"/>
    <n v="372"/>
    <n v="4.7"/>
    <n v="5"/>
    <s v="5"/>
    <n v="3"/>
  </r>
  <r>
    <s v="1067"/>
    <s v="Life of Pi"/>
    <s v="Yann Martel"/>
    <x v="5"/>
    <n v="2001"/>
    <n v="319"/>
    <n v="4.5"/>
    <n v="4"/>
    <s v="4"/>
    <n v="2"/>
  </r>
  <r>
    <s v="1068"/>
    <s v="The Book Thief"/>
    <s v="Markus Zusak"/>
    <x v="15"/>
    <n v="2005"/>
    <n v="584"/>
    <n v="4.7"/>
    <n v="5"/>
    <s v="5"/>
    <n v="1"/>
  </r>
  <r>
    <s v="1069"/>
    <s v="All the Light We Cannot See"/>
    <s v="Anthony Doerr"/>
    <x v="15"/>
    <n v="2014"/>
    <n v="531"/>
    <n v="4.5999999999999996"/>
    <n v="4"/>
    <s v="4"/>
    <n v="2"/>
  </r>
  <r>
    <s v="1070"/>
    <s v="The Nightingale"/>
    <s v="Kristin Hannah"/>
    <x v="15"/>
    <n v="2015"/>
    <n v="440"/>
    <n v="4.7"/>
    <n v="5"/>
    <s v="5"/>
    <n v="3"/>
  </r>
  <r>
    <s v="1071"/>
    <s v="The Da Vinci Code"/>
    <s v="Dan Brown"/>
    <x v="16"/>
    <n v="2003"/>
    <n v="489"/>
    <n v="4.2"/>
    <n v="6"/>
    <s v="6"/>
    <n v="3"/>
  </r>
  <r>
    <s v="1072"/>
    <s v="Gone Girl"/>
    <s v="Gillian Flynn"/>
    <x v="16"/>
    <n v="2012"/>
    <n v="422"/>
    <n v="4.4000000000000004"/>
    <n v="5"/>
    <s v="5"/>
    <n v="2"/>
  </r>
  <r>
    <s v="1073"/>
    <s v="The Girl with the Dragon Tattoo"/>
    <s v="Stieg Larsson"/>
    <x v="16"/>
    <n v="2005"/>
    <n v="465"/>
    <n v="4.4000000000000004"/>
    <n v="4"/>
    <s v="4"/>
    <n v="1"/>
  </r>
  <r>
    <s v="1074"/>
    <s v="Murder on the Orient Express"/>
    <s v="Agatha Christie"/>
    <x v="16"/>
    <n v="1934"/>
    <n v="274"/>
    <n v="4.5999999999999996"/>
    <n v="5"/>
    <s v="5"/>
    <n v="3"/>
  </r>
  <r>
    <s v="1075"/>
    <s v="And Then There Were None"/>
    <s v="Agatha Christie"/>
    <x v="16"/>
    <n v="1939"/>
    <n v="272"/>
    <n v="4.7"/>
    <n v="6"/>
    <s v="6"/>
    <n v="4"/>
  </r>
  <r>
    <s v="1076"/>
    <s v="The Hound of the Baskervilles"/>
    <s v="Arthur Conan Doyle"/>
    <x v="16"/>
    <n v="1902"/>
    <n v="256"/>
    <n v="4.5"/>
    <n v="4"/>
    <s v="4"/>
    <n v="2"/>
  </r>
  <r>
    <s v="1077"/>
    <s v="The Silent Patient"/>
    <s v="Alex Michaelides"/>
    <x v="16"/>
    <n v="2019"/>
    <n v="336"/>
    <n v="4.5"/>
    <n v="6"/>
    <s v="6"/>
    <n v="2"/>
  </r>
  <r>
    <s v="1078"/>
    <s v="The Shining"/>
    <s v="Stephen King"/>
    <x v="17"/>
    <n v="1977"/>
    <n v="447"/>
    <n v="4.5"/>
    <n v="5"/>
    <s v="5"/>
    <n v="2"/>
  </r>
  <r>
    <s v="1079"/>
    <s v="It"/>
    <s v="Stephen King"/>
    <x v="17"/>
    <n v="1986"/>
    <n v="1138"/>
    <n v="4.5999999999999996"/>
    <n v="4"/>
    <s v="4"/>
    <n v="1"/>
  </r>
  <r>
    <s v="1080"/>
    <s v="Pet Sematary"/>
    <s v="Stephen King"/>
    <x v="17"/>
    <n v="1983"/>
    <n v="374"/>
    <n v="4.4000000000000004"/>
    <n v="3"/>
    <s v="3"/>
    <n v="1"/>
  </r>
  <r>
    <s v="1081"/>
    <s v="Dracula"/>
    <s v="Bram Stoker"/>
    <x v="17"/>
    <n v="1897"/>
    <n v="418"/>
    <n v="4.5"/>
    <n v="5"/>
    <s v="5"/>
    <n v="3"/>
  </r>
  <r>
    <s v="1082"/>
    <s v="Frankenstein"/>
    <s v="Mary Shelley"/>
    <x v="17"/>
    <n v="1818"/>
    <n v="280"/>
    <n v="4.5999999999999996"/>
    <n v="5"/>
    <s v="5"/>
    <n v="3"/>
  </r>
  <r>
    <s v="1083"/>
    <s v="The Haunting of Hill House"/>
    <s v="Shirley Jackson"/>
    <x v="17"/>
    <n v="1959"/>
    <n v="182"/>
    <n v="4.3"/>
    <n v="3"/>
    <s v="3"/>
    <n v="1"/>
  </r>
  <r>
    <s v="1084"/>
    <s v="The Fault in Our Stars"/>
    <s v="John Green"/>
    <x v="3"/>
    <n v="2012"/>
    <n v="313"/>
    <n v="4.4000000000000004"/>
    <n v="5"/>
    <s v="5"/>
    <n v="2"/>
  </r>
  <r>
    <s v="1085"/>
    <s v="Me Before You"/>
    <s v="Jojo Moyes"/>
    <x v="3"/>
    <n v="2012"/>
    <n v="369"/>
    <n v="4.5"/>
    <n v="5"/>
    <s v="5"/>
    <n v="3"/>
  </r>
  <r>
    <s v="1086"/>
    <s v="Normal People"/>
    <s v="Sally Rooney"/>
    <x v="3"/>
    <n v="2018"/>
    <n v="273"/>
    <n v="4.0999999999999996"/>
    <n v="4"/>
    <s v="4"/>
    <n v="2"/>
  </r>
  <r>
    <s v="1087"/>
    <s v="The Notebook"/>
    <s v="Nicholas Sparks"/>
    <x v="3"/>
    <n v="1996"/>
    <n v="214"/>
    <n v="4.2"/>
    <n v="4"/>
    <s v="4"/>
    <n v="2"/>
  </r>
  <r>
    <s v="1088"/>
    <s v="The Seven Husbands of Evelyn Hugo"/>
    <s v="Taylor Jenkins Reid"/>
    <x v="3"/>
    <n v="2017"/>
    <n v="400"/>
    <n v="4.5999999999999996"/>
    <n v="6"/>
    <s v="6"/>
    <n v="4"/>
  </r>
  <r>
    <s v="1089"/>
    <s v="The Midnight Library"/>
    <s v="Matt Haig"/>
    <x v="5"/>
    <n v="2020"/>
    <n v="304"/>
    <n v="4.4000000000000004"/>
    <n v="7"/>
    <s v="7"/>
    <n v="4"/>
  </r>
  <r>
    <s v="1090"/>
    <s v="Klara and the Sun"/>
    <s v="Kazuo Ishiguro"/>
    <x v="6"/>
    <n v="2021"/>
    <n v="303"/>
    <n v="4.3"/>
    <n v="4"/>
    <s v="4"/>
    <n v="2"/>
  </r>
  <r>
    <s v="1091"/>
    <s v="The Invisible Man"/>
    <s v="H.G. Wells"/>
    <x v="6"/>
    <n v="1897"/>
    <n v="162"/>
    <n v="4.4000000000000004"/>
    <n v="4"/>
    <s v="4"/>
    <n v="3"/>
  </r>
  <r>
    <s v="1092"/>
    <s v="The Time Machine"/>
    <s v="H.G. Wells"/>
    <x v="6"/>
    <n v="1895"/>
    <n v="118"/>
    <n v="4.5"/>
    <n v="4"/>
    <s v="4"/>
    <n v="3"/>
  </r>
  <r>
    <s v="1093"/>
    <s v="Do Androids Dream of Electric Sheep?"/>
    <s v="Philip K. Dick"/>
    <x v="6"/>
    <n v="1968"/>
    <n v="244"/>
    <n v="4.4000000000000004"/>
    <n v="3"/>
    <s v="3"/>
    <n v="1"/>
  </r>
  <r>
    <s v="1094"/>
    <s v="The Innovators"/>
    <s v="Walter Isaacson"/>
    <x v="18"/>
    <n v="2014"/>
    <n v="560"/>
    <n v="4.5"/>
    <n v="4"/>
    <s v="4"/>
    <n v="2"/>
  </r>
  <r>
    <s v="1095"/>
    <s v="Steve Jobs"/>
    <s v="Walter Isaacson"/>
    <x v="19"/>
    <n v="2011"/>
    <n v="656"/>
    <n v="4.5999999999999996"/>
    <n v="5"/>
    <s v="5"/>
    <n v="2"/>
  </r>
  <r>
    <s v="1096"/>
    <s v="Leonardo da Vinci"/>
    <s v="Walter Isaacson"/>
    <x v="19"/>
    <n v="2017"/>
    <n v="624"/>
    <n v="4.5"/>
    <n v="4"/>
    <s v="4"/>
    <n v="1"/>
  </r>
  <r>
    <s v="1097"/>
    <s v="Einstein: His Life and Universe"/>
    <s v="Walter Isaacson"/>
    <x v="19"/>
    <n v="2007"/>
    <n v="675"/>
    <n v="4.5"/>
    <n v="3"/>
    <s v="3"/>
    <n v="1"/>
  </r>
  <r>
    <s v="1098"/>
    <s v="Surely You're Joking, Mr. Feynman!"/>
    <s v="Richard Feynman"/>
    <x v="19"/>
    <n v="1985"/>
    <n v="350"/>
    <n v="4.8"/>
    <n v="4"/>
    <s v="4"/>
    <n v="2"/>
  </r>
  <r>
    <s v="1099"/>
    <s v="A Brief History of Time"/>
    <s v="Stephen Hawking"/>
    <x v="20"/>
    <n v="1988"/>
    <n v="256"/>
    <n v="4.5999999999999996"/>
    <n v="5"/>
    <s v="5"/>
    <n v="3"/>
  </r>
  <r>
    <s v="1100"/>
    <s v="Cosmos"/>
    <s v="Carl Sagan"/>
    <x v="20"/>
    <n v="1980"/>
    <n v="365"/>
    <n v="4.7"/>
    <n v="5"/>
    <s v="5"/>
    <n v="2"/>
  </r>
  <r>
    <s v="1101"/>
    <s v="The Selfish Gene"/>
    <s v="Richard Dawkins"/>
    <x v="20"/>
    <n v="1976"/>
    <n v="360"/>
    <n v="4.5"/>
    <n v="4"/>
    <s v="4"/>
    <n v="2"/>
  </r>
  <r>
    <s v="1102"/>
    <s v="Guns, Germs, and Steel"/>
    <s v="Jared Diamond"/>
    <x v="7"/>
    <n v="1997"/>
    <n v="528"/>
    <n v="4.5"/>
    <n v="4"/>
    <s v="4"/>
    <n v="1"/>
  </r>
  <r>
    <s v="1103"/>
    <s v="The Silk Roads"/>
    <s v="Peter Frankopan"/>
    <x v="7"/>
    <n v="2015"/>
    <n v="636"/>
    <n v="4.4000000000000004"/>
    <n v="3"/>
    <s v="3"/>
    <n v="1"/>
  </r>
  <r>
    <s v="1104"/>
    <s v="Prisoners of Geography"/>
    <s v="Tim Marshall"/>
    <x v="21"/>
    <n v="2015"/>
    <n v="320"/>
    <n v="4.5"/>
    <n v="5"/>
    <s v="5"/>
    <n v="3"/>
  </r>
  <r>
    <s v="1105"/>
    <s v="The Design of Everyday Things"/>
    <s v="Don Norman"/>
    <x v="22"/>
    <n v="1988"/>
    <n v="368"/>
    <n v="4.5999999999999996"/>
    <n v="4"/>
    <s v="4"/>
    <n v="2"/>
  </r>
  <r>
    <s v="1106"/>
    <s v="Don't Make Me Think"/>
    <s v="Steve Krug"/>
    <x v="22"/>
    <n v="2000"/>
    <n v="216"/>
    <n v="4.7"/>
    <n v="5"/>
    <s v="5"/>
    <n v="4"/>
  </r>
  <r>
    <s v="1107"/>
    <s v="Clean Code"/>
    <s v="Robert C. Martin"/>
    <x v="18"/>
    <n v="2008"/>
    <n v="464"/>
    <n v="4.5999999999999996"/>
    <n v="6"/>
    <s v="6"/>
    <n v="2"/>
  </r>
  <r>
    <s v="1108"/>
    <s v="The Pragmatic Programmer"/>
    <s v="Andrew Hunt, David Thomas"/>
    <x v="18"/>
    <n v="1999"/>
    <n v="352"/>
    <n v="4.8"/>
    <n v="5"/>
    <s v="5"/>
    <n v="2"/>
  </r>
  <r>
    <s v="1109"/>
    <s v="Python Crash Course"/>
    <s v="Eric Matthes"/>
    <x v="18"/>
    <n v="2015"/>
    <n v="544"/>
    <n v="4.7"/>
    <n v="6"/>
    <s v="6"/>
    <n v="4"/>
  </r>
  <r>
    <s v="1110"/>
    <s v="Automate the Boring Stuff with Python"/>
    <s v="Al Sweigart"/>
    <x v="18"/>
    <n v="2015"/>
    <n v="592"/>
    <n v="4.7"/>
    <n v="5"/>
    <s v="5"/>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10">
    <pivotField dataField="1" showAll="0"/>
    <pivotField showAll="0"/>
    <pivotField showAll="0"/>
    <pivotField axis="axisRow" showAll="0">
      <items count="24">
        <item h="1" x="19"/>
        <item h="1" x="13"/>
        <item h="1" x="4"/>
        <item h="1" x="22"/>
        <item h="1" x="1"/>
        <item h="1" x="0"/>
        <item h="1" x="5"/>
        <item x="12"/>
        <item h="1" x="21"/>
        <item h="1" x="15"/>
        <item x="7"/>
        <item h="1" x="17"/>
        <item h="1" x="8"/>
        <item x="16"/>
        <item h="1" x="14"/>
        <item h="1" x="10"/>
        <item h="1" x="11"/>
        <item h="1" x="3"/>
        <item h="1" x="2"/>
        <item h="1" x="20"/>
        <item h="1" x="6"/>
        <item h="1" x="9"/>
        <item h="1" x="18"/>
        <item t="default"/>
      </items>
    </pivotField>
    <pivotField showAll="0"/>
    <pivotField showAll="0"/>
    <pivotField showAll="0"/>
    <pivotField numFmtId="1" showAll="0"/>
    <pivotField showAll="0"/>
    <pivotField showAll="0"/>
  </pivotFields>
  <rowFields count="1">
    <field x="3"/>
  </rowFields>
  <rowItems count="4">
    <i>
      <x v="7"/>
    </i>
    <i>
      <x v="10"/>
    </i>
    <i>
      <x v="13"/>
    </i>
    <i t="grand">
      <x/>
    </i>
  </rowItems>
  <colItems count="1">
    <i/>
  </colItems>
  <dataFields count="1">
    <dataField name="Count of book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7" firstHeaderRow="0" firstDataRow="1" firstDataCol="1"/>
  <pivotFields count="10">
    <pivotField dataField="1" showAll="0"/>
    <pivotField showAll="0"/>
    <pivotField showAll="0"/>
    <pivotField axis="axisRow" showAll="0" sortType="descending">
      <items count="24">
        <item h="1" x="19"/>
        <item h="1" x="13"/>
        <item h="1" x="4"/>
        <item h="1" x="22"/>
        <item h="1" x="1"/>
        <item h="1" x="0"/>
        <item h="1" x="5"/>
        <item x="12"/>
        <item h="1" x="21"/>
        <item h="1" x="15"/>
        <item x="7"/>
        <item h="1" x="17"/>
        <item h="1" x="8"/>
        <item x="16"/>
        <item h="1" x="14"/>
        <item h="1" x="10"/>
        <item h="1" x="11"/>
        <item h="1" x="3"/>
        <item h="1" x="2"/>
        <item h="1" x="20"/>
        <item h="1" x="6"/>
        <item h="1" x="9"/>
        <item h="1" x="18"/>
        <item t="default"/>
      </items>
      <autoSortScope>
        <pivotArea dataOnly="0" outline="0" fieldPosition="0">
          <references count="1">
            <reference field="4294967294" count="1" selected="0">
              <x v="1"/>
            </reference>
          </references>
        </pivotArea>
      </autoSortScope>
    </pivotField>
    <pivotField showAll="0"/>
    <pivotField showAll="0"/>
    <pivotField showAll="0"/>
    <pivotField dataField="1" numFmtId="1" showAll="0"/>
    <pivotField showAll="0"/>
    <pivotField dataField="1" showAll="0"/>
  </pivotFields>
  <rowFields count="1">
    <field x="3"/>
  </rowFields>
  <rowItems count="4">
    <i>
      <x v="13"/>
    </i>
    <i>
      <x v="10"/>
    </i>
    <i>
      <x v="7"/>
    </i>
    <i t="grand">
      <x/>
    </i>
  </rowItems>
  <colFields count="1">
    <field x="-2"/>
  </colFields>
  <colItems count="3">
    <i>
      <x/>
    </i>
    <i i="1">
      <x v="1"/>
    </i>
    <i i="2">
      <x v="2"/>
    </i>
  </colItems>
  <dataFields count="3">
    <dataField name="Count of book_id" fld="0" subtotal="count" baseField="0" baseItem="0"/>
    <dataField name="Sum of cop_num" fld="7" baseField="3" baseItem="0"/>
    <dataField name="Sum of available_copi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10">
    <pivotField showAll="0"/>
    <pivotField showAll="0"/>
    <pivotField showAll="0"/>
    <pivotField axis="axisRow" showAll="0">
      <items count="24">
        <item h="1" x="19"/>
        <item h="1" x="13"/>
        <item h="1" x="4"/>
        <item h="1" x="22"/>
        <item h="1" x="1"/>
        <item h="1" x="0"/>
        <item h="1" x="5"/>
        <item x="12"/>
        <item h="1" x="21"/>
        <item h="1" x="15"/>
        <item x="7"/>
        <item h="1" x="17"/>
        <item h="1" x="8"/>
        <item x="16"/>
        <item h="1" x="14"/>
        <item h="1" x="10"/>
        <item h="1" x="11"/>
        <item h="1" x="3"/>
        <item h="1" x="2"/>
        <item h="1" x="20"/>
        <item h="1" x="6"/>
        <item h="1" x="9"/>
        <item h="1" x="18"/>
        <item t="default"/>
      </items>
    </pivotField>
    <pivotField showAll="0"/>
    <pivotField showAll="0"/>
    <pivotField dataField="1" showAll="0"/>
    <pivotField numFmtId="1" showAll="0"/>
    <pivotField showAll="0"/>
    <pivotField showAll="0"/>
  </pivotFields>
  <rowFields count="1">
    <field x="3"/>
  </rowFields>
  <rowItems count="4">
    <i>
      <x v="7"/>
    </i>
    <i>
      <x v="10"/>
    </i>
    <i>
      <x v="13"/>
    </i>
    <i t="grand">
      <x/>
    </i>
  </rowItems>
  <colItems count="1">
    <i/>
  </colItems>
  <dataFields count="1">
    <dataField name="Average of rating" fld="6" subtotal="average" baseField="0" baseItem="0" numFmtId="2"/>
  </dataFields>
  <formats count="3">
    <format dxfId="442">
      <pivotArea outline="0" collapsedLevelsAreSubtotals="1" fieldPosition="0"/>
    </format>
    <format dxfId="441">
      <pivotArea outline="0" collapsedLevelsAreSubtotals="1" fieldPosition="0"/>
    </format>
    <format dxfId="44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pivotFields count="10">
    <pivotField showAll="0"/>
    <pivotField showAll="0"/>
    <pivotField showAll="0"/>
    <pivotField axis="axisRow" showAll="0">
      <items count="24">
        <item h="1" x="19"/>
        <item h="1" x="13"/>
        <item h="1" x="4"/>
        <item h="1" x="22"/>
        <item h="1" x="1"/>
        <item h="1" x="0"/>
        <item h="1" x="5"/>
        <item x="12"/>
        <item h="1" x="21"/>
        <item h="1" x="15"/>
        <item x="7"/>
        <item h="1" x="17"/>
        <item h="1" x="8"/>
        <item x="16"/>
        <item h="1" x="14"/>
        <item h="1" x="10"/>
        <item h="1" x="11"/>
        <item h="1" x="3"/>
        <item h="1" x="2"/>
        <item h="1" x="20"/>
        <item h="1" x="6"/>
        <item h="1" x="9"/>
        <item h="1" x="18"/>
        <item t="default"/>
      </items>
    </pivotField>
    <pivotField showAll="0"/>
    <pivotField showAll="0"/>
    <pivotField dataField="1" showAll="0"/>
    <pivotField numFmtId="1" showAll="0"/>
    <pivotField showAll="0"/>
    <pivotField showAll="0"/>
  </pivotFields>
  <rowFields count="1">
    <field x="3"/>
  </rowFields>
  <rowItems count="4">
    <i>
      <x v="7"/>
    </i>
    <i>
      <x v="10"/>
    </i>
    <i>
      <x v="13"/>
    </i>
    <i t="grand">
      <x/>
    </i>
  </rowItems>
  <colItems count="1">
    <i/>
  </colItems>
  <dataFields count="1">
    <dataField name="Average of rating" fld="6" subtotal="average" baseField="0" baseItem="0"/>
  </dataFields>
  <formats count="10">
    <format dxfId="436">
      <pivotArea collapsedLevelsAreSubtotals="1" fieldPosition="0">
        <references count="1">
          <reference field="3" count="0"/>
        </references>
      </pivotArea>
    </format>
    <format dxfId="435">
      <pivotArea collapsedLevelsAreSubtotals="1" fieldPosition="0">
        <references count="1">
          <reference field="3" count="0"/>
        </references>
      </pivotArea>
    </format>
    <format dxfId="434">
      <pivotArea collapsedLevelsAreSubtotals="1" fieldPosition="0">
        <references count="1">
          <reference field="3" count="0"/>
        </references>
      </pivotArea>
    </format>
    <format dxfId="433">
      <pivotArea grandRow="1" outline="0" collapsedLevelsAreSubtotals="1" fieldPosition="0"/>
    </format>
    <format dxfId="432">
      <pivotArea grandRow="1" outline="0" collapsedLevelsAreSubtotals="1" fieldPosition="0"/>
    </format>
    <format dxfId="431">
      <pivotArea grandRow="1" outline="0" collapsedLevelsAreSubtotals="1" fieldPosition="0"/>
    </format>
    <format dxfId="430">
      <pivotArea grandRow="1" outline="0" collapsedLevelsAreSubtotals="1" fieldPosition="0"/>
    </format>
    <format dxfId="429">
      <pivotArea grandRow="1" outline="0" collapsedLevelsAreSubtotals="1" fieldPosition="0"/>
    </format>
    <format dxfId="428">
      <pivotArea grandRow="1" outline="0" collapsedLevelsAreSubtotals="1" fieldPosition="0"/>
    </format>
    <format dxfId="427">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M6:N10" firstHeaderRow="1" firstDataRow="1" firstDataCol="1"/>
  <pivotFields count="10">
    <pivotField showAll="0"/>
    <pivotField showAll="0"/>
    <pivotField showAll="0"/>
    <pivotField axis="axisRow" showAll="0">
      <items count="24">
        <item h="1" x="19"/>
        <item h="1" x="13"/>
        <item h="1" x="4"/>
        <item h="1" x="22"/>
        <item h="1" x="1"/>
        <item h="1" x="0"/>
        <item h="1" x="5"/>
        <item x="12"/>
        <item h="1" x="21"/>
        <item h="1" x="15"/>
        <item x="7"/>
        <item h="1" x="17"/>
        <item h="1" x="8"/>
        <item x="16"/>
        <item h="1" x="14"/>
        <item h="1" x="10"/>
        <item h="1" x="11"/>
        <item h="1" x="3"/>
        <item h="1" x="2"/>
        <item h="1" x="20"/>
        <item h="1" x="6"/>
        <item h="1" x="9"/>
        <item h="1" x="18"/>
        <item t="default"/>
      </items>
    </pivotField>
    <pivotField showAll="0"/>
    <pivotField showAll="0"/>
    <pivotField dataField="1" showAll="0"/>
    <pivotField numFmtId="1" showAll="0"/>
    <pivotField showAll="0"/>
    <pivotField showAll="0"/>
  </pivotFields>
  <rowFields count="1">
    <field x="3"/>
  </rowFields>
  <rowItems count="4">
    <i>
      <x v="7"/>
    </i>
    <i>
      <x v="10"/>
    </i>
    <i>
      <x v="13"/>
    </i>
    <i t="grand">
      <x/>
    </i>
  </rowItems>
  <colItems count="1">
    <i/>
  </colItems>
  <dataFields count="1">
    <dataField name="Average of rating" fld="6" subtotal="average" baseField="0" baseItem="0"/>
  </dataFields>
  <formats count="17">
    <format dxfId="407">
      <pivotArea collapsedLevelsAreSubtotals="1" fieldPosition="0">
        <references count="1">
          <reference field="3" count="0"/>
        </references>
      </pivotArea>
    </format>
    <format dxfId="408">
      <pivotArea collapsedLevelsAreSubtotals="1" fieldPosition="0">
        <references count="1">
          <reference field="3" count="0"/>
        </references>
      </pivotArea>
    </format>
    <format dxfId="409">
      <pivotArea collapsedLevelsAreSubtotals="1" fieldPosition="0">
        <references count="1">
          <reference field="3" count="0"/>
        </references>
      </pivotArea>
    </format>
    <format dxfId="410">
      <pivotArea grandRow="1" outline="0" collapsedLevelsAreSubtotals="1" fieldPosition="0"/>
    </format>
    <format dxfId="411">
      <pivotArea grandRow="1" outline="0" collapsedLevelsAreSubtotals="1" fieldPosition="0"/>
    </format>
    <format dxfId="412">
      <pivotArea grandRow="1" outline="0" collapsedLevelsAreSubtotals="1" fieldPosition="0"/>
    </format>
    <format dxfId="413">
      <pivotArea grandRow="1" outline="0" collapsedLevelsAreSubtotals="1" fieldPosition="0"/>
    </format>
    <format dxfId="414">
      <pivotArea grandRow="1" outline="0" collapsedLevelsAreSubtotals="1" fieldPosition="0"/>
    </format>
    <format dxfId="415">
      <pivotArea grandRow="1" outline="0" collapsedLevelsAreSubtotals="1" fieldPosition="0"/>
    </format>
    <format dxfId="416">
      <pivotArea grandRow="1" outline="0" collapsedLevelsAreSubtotals="1" fieldPosition="0"/>
    </format>
    <format dxfId="156">
      <pivotArea type="all" dataOnly="0" outline="0" fieldPosition="0"/>
    </format>
    <format dxfId="155">
      <pivotArea outline="0" collapsedLevelsAreSubtotals="1" fieldPosition="0"/>
    </format>
    <format dxfId="154">
      <pivotArea field="3" type="button" dataOnly="0" labelOnly="1" outline="0" axis="axisRow" fieldPosition="0"/>
    </format>
    <format dxfId="153">
      <pivotArea dataOnly="0" labelOnly="1" outline="0" axis="axisValues" fieldPosition="0"/>
    </format>
    <format dxfId="152">
      <pivotArea dataOnly="0" labelOnly="1" fieldPosition="0">
        <references count="1">
          <reference field="3" count="0"/>
        </references>
      </pivotArea>
    </format>
    <format dxfId="151">
      <pivotArea dataOnly="0" labelOnly="1" grandRow="1" outline="0" fieldPosition="0"/>
    </format>
    <format dxfId="15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1" sourceName="category">
  <pivotTables>
    <pivotTable tabId="7" name="PivotTable5"/>
    <pivotTable tabId="6" name="PivotTable6"/>
    <pivotTable tabId="3" name="PivotTable2"/>
    <pivotTable tabId="2" name="PivotTable1"/>
    <pivotTable tabId="4" name="PivotTable3"/>
  </pivotTables>
  <data>
    <tabular pivotCacheId="1">
      <items count="23">
        <i x="19"/>
        <i x="13"/>
        <i x="4"/>
        <i x="22"/>
        <i x="1"/>
        <i x="0"/>
        <i x="5"/>
        <i x="12" s="1"/>
        <i x="21"/>
        <i x="15"/>
        <i x="7" s="1"/>
        <i x="17"/>
        <i x="8"/>
        <i x="16" s="1"/>
        <i x="14"/>
        <i x="10"/>
        <i x="11"/>
        <i x="3"/>
        <i x="2"/>
        <i x="20"/>
        <i x="6"/>
        <i x="9"/>
        <i x="18"/>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1"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category 1" cache="Slicer_category1" caption="category" startItem="5" rowHeight="241300"/>
</slicers>
</file>

<file path=xl/tables/table1.xml><?xml version="1.0" encoding="utf-8"?>
<table xmlns="http://schemas.openxmlformats.org/spreadsheetml/2006/main" id="1" name="books" displayName="books" ref="A1:J111" totalsRowShown="0" headerRowDxfId="449" dataDxfId="448">
  <autoFilter ref="A1:J111"/>
  <tableColumns count="10">
    <tableColumn id="1" name="book_id" dataDxfId="455"/>
    <tableColumn id="2" name="title" dataDxfId="454"/>
    <tableColumn id="3" name="author" dataDxfId="453"/>
    <tableColumn id="4" name="category" dataDxfId="452"/>
    <tableColumn id="5" name="year" dataDxfId="451"/>
    <tableColumn id="6" name="pages" dataDxfId="450"/>
    <tableColumn id="7" name="rating" dataDxfId="446"/>
    <tableColumn id="10" name="cop_num" dataDxfId="445">
      <calculatedColumnFormula xml:space="preserve"> VALUE(books[[#This Row],[copies]])</calculatedColumnFormula>
    </tableColumn>
    <tableColumn id="8" name="copies" dataDxfId="444"/>
    <tableColumn id="9" name="available_copies" dataDxfId="443"/>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M1:N7" totalsRowShown="0">
  <autoFilter ref="M1:N7"/>
  <tableColumns count="2">
    <tableColumn id="1" name="kpi"/>
    <tableColumn id="2" name="amount" dataDxfId="447">
      <calculatedColumnFormula>ROWS(books[book_id])</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A8" sqref="A4:A26"/>
    </sheetView>
  </sheetViews>
  <sheetFormatPr defaultRowHeight="15" x14ac:dyDescent="0.25"/>
  <cols>
    <col min="1" max="1" width="13.140625" customWidth="1"/>
    <col min="2" max="2" width="16.28515625" bestFit="1" customWidth="1"/>
  </cols>
  <sheetData>
    <row r="3" spans="1:2" x14ac:dyDescent="0.25">
      <c r="A3" s="7" t="s">
        <v>349</v>
      </c>
      <c r="B3" t="s">
        <v>351</v>
      </c>
    </row>
    <row r="4" spans="1:2" x14ac:dyDescent="0.25">
      <c r="A4" s="8" t="s">
        <v>111</v>
      </c>
      <c r="B4" s="9">
        <v>3</v>
      </c>
    </row>
    <row r="5" spans="1:2" x14ac:dyDescent="0.25">
      <c r="A5" s="8" t="s">
        <v>83</v>
      </c>
      <c r="B5" s="9">
        <v>4</v>
      </c>
    </row>
    <row r="6" spans="1:2" x14ac:dyDescent="0.25">
      <c r="A6" s="8" t="s">
        <v>227</v>
      </c>
      <c r="B6" s="9">
        <v>7</v>
      </c>
    </row>
    <row r="7" spans="1:2" x14ac:dyDescent="0.25">
      <c r="A7" s="8" t="s">
        <v>350</v>
      </c>
      <c r="B7" s="9">
        <v>14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7"/>
  <sheetViews>
    <sheetView topLeftCell="A2" workbookViewId="0">
      <selection activeCell="F10" sqref="F10"/>
    </sheetView>
  </sheetViews>
  <sheetFormatPr defaultRowHeight="15" x14ac:dyDescent="0.25"/>
  <cols>
    <col min="1" max="1" width="13.140625" customWidth="1"/>
    <col min="2" max="2" width="16.28515625" bestFit="1" customWidth="1"/>
    <col min="3" max="3" width="15.85546875" bestFit="1" customWidth="1"/>
    <col min="4" max="4" width="22.7109375" bestFit="1" customWidth="1"/>
  </cols>
  <sheetData>
    <row r="3" spans="1:4" x14ac:dyDescent="0.25">
      <c r="A3" s="7" t="s">
        <v>349</v>
      </c>
      <c r="B3" t="s">
        <v>351</v>
      </c>
      <c r="C3" t="s">
        <v>353</v>
      </c>
      <c r="D3" t="s">
        <v>352</v>
      </c>
    </row>
    <row r="4" spans="1:4" x14ac:dyDescent="0.25">
      <c r="A4" s="8" t="s">
        <v>227</v>
      </c>
      <c r="B4" s="9">
        <v>7</v>
      </c>
      <c r="C4" s="9">
        <v>36</v>
      </c>
      <c r="D4" s="9">
        <v>17</v>
      </c>
    </row>
    <row r="5" spans="1:4" x14ac:dyDescent="0.25">
      <c r="A5" s="8" t="s">
        <v>83</v>
      </c>
      <c r="B5" s="9">
        <v>4</v>
      </c>
      <c r="C5" s="9">
        <v>17</v>
      </c>
      <c r="D5" s="9">
        <v>7</v>
      </c>
    </row>
    <row r="6" spans="1:4" x14ac:dyDescent="0.25">
      <c r="A6" s="8" t="s">
        <v>111</v>
      </c>
      <c r="B6" s="9">
        <v>3</v>
      </c>
      <c r="C6" s="9">
        <v>16</v>
      </c>
      <c r="D6" s="9">
        <v>8</v>
      </c>
    </row>
    <row r="7" spans="1:4" x14ac:dyDescent="0.25">
      <c r="A7" s="8" t="s">
        <v>350</v>
      </c>
      <c r="B7" s="9">
        <v>14</v>
      </c>
      <c r="C7" s="9">
        <v>69</v>
      </c>
      <c r="D7" s="9">
        <v>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topLeftCell="A2" zoomScale="83" workbookViewId="0">
      <selection activeCell="A3" sqref="A3"/>
    </sheetView>
  </sheetViews>
  <sheetFormatPr defaultRowHeight="15" x14ac:dyDescent="0.25"/>
  <cols>
    <col min="1" max="1" width="13.5703125" customWidth="1"/>
    <col min="2" max="2" width="16.28515625" bestFit="1" customWidth="1"/>
  </cols>
  <sheetData>
    <row r="3" spans="1:2" x14ac:dyDescent="0.25">
      <c r="A3" s="7" t="s">
        <v>349</v>
      </c>
      <c r="B3" t="s">
        <v>354</v>
      </c>
    </row>
    <row r="4" spans="1:2" x14ac:dyDescent="0.25">
      <c r="A4" s="8" t="s">
        <v>111</v>
      </c>
      <c r="B4" s="3">
        <v>4.5</v>
      </c>
    </row>
    <row r="5" spans="1:2" x14ac:dyDescent="0.25">
      <c r="A5" s="8" t="s">
        <v>83</v>
      </c>
      <c r="B5" s="3">
        <v>4.5</v>
      </c>
    </row>
    <row r="6" spans="1:2" x14ac:dyDescent="0.25">
      <c r="A6" s="8" t="s">
        <v>227</v>
      </c>
      <c r="B6" s="3">
        <v>4.4714285714285706</v>
      </c>
    </row>
    <row r="7" spans="1:2" x14ac:dyDescent="0.25">
      <c r="A7" s="8" t="s">
        <v>350</v>
      </c>
      <c r="B7" s="3">
        <v>4.4857142857142858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B5" sqref="B5"/>
    </sheetView>
  </sheetViews>
  <sheetFormatPr defaultRowHeight="15" x14ac:dyDescent="0.25"/>
  <cols>
    <col min="1" max="1" width="13.140625" customWidth="1"/>
    <col min="2" max="2" width="16.28515625" bestFit="1" customWidth="1"/>
  </cols>
  <sheetData>
    <row r="3" spans="1:2" x14ac:dyDescent="0.25">
      <c r="A3" s="7" t="s">
        <v>349</v>
      </c>
      <c r="B3" t="s">
        <v>354</v>
      </c>
    </row>
    <row r="4" spans="1:2" x14ac:dyDescent="0.25">
      <c r="A4" s="8" t="s">
        <v>111</v>
      </c>
      <c r="B4" s="3">
        <v>4.5</v>
      </c>
    </row>
    <row r="5" spans="1:2" x14ac:dyDescent="0.25">
      <c r="A5" s="8" t="s">
        <v>83</v>
      </c>
      <c r="B5" s="3">
        <v>4.5</v>
      </c>
    </row>
    <row r="6" spans="1:2" x14ac:dyDescent="0.25">
      <c r="A6" s="8" t="s">
        <v>227</v>
      </c>
      <c r="B6" s="3">
        <v>4.4714285714285706</v>
      </c>
    </row>
    <row r="7" spans="1:2" x14ac:dyDescent="0.25">
      <c r="A7" s="8" t="s">
        <v>350</v>
      </c>
      <c r="B7" s="3">
        <v>4.4857142857142858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11"/>
  <sheetViews>
    <sheetView topLeftCell="A2" workbookViewId="0">
      <selection activeCell="C11" sqref="C11"/>
    </sheetView>
  </sheetViews>
  <sheetFormatPr defaultRowHeight="15" x14ac:dyDescent="0.25"/>
  <cols>
    <col min="1" max="1" width="10.28515625" customWidth="1"/>
    <col min="2" max="2" width="15.42578125" customWidth="1"/>
    <col min="3" max="3" width="14.140625" customWidth="1"/>
    <col min="4" max="4" width="11.28515625" customWidth="1"/>
    <col min="8" max="8" width="19.28515625" style="5" customWidth="1"/>
    <col min="9" max="9" width="9.140625" style="3"/>
    <col min="10" max="10" width="17.85546875" style="3" customWidth="1"/>
    <col min="13" max="13" width="16.7109375" customWidth="1"/>
    <col min="14" max="14" width="29.140625" customWidth="1"/>
  </cols>
  <sheetData>
    <row r="1" spans="1:14" x14ac:dyDescent="0.25">
      <c r="A1" s="1" t="s">
        <v>0</v>
      </c>
      <c r="B1" s="1" t="s">
        <v>1</v>
      </c>
      <c r="C1" s="1" t="s">
        <v>2</v>
      </c>
      <c r="D1" s="1" t="s">
        <v>3</v>
      </c>
      <c r="E1" s="1" t="s">
        <v>4</v>
      </c>
      <c r="F1" s="1" t="s">
        <v>5</v>
      </c>
      <c r="G1" s="1" t="s">
        <v>6</v>
      </c>
      <c r="H1" s="4" t="s">
        <v>347</v>
      </c>
      <c r="I1" s="2" t="s">
        <v>7</v>
      </c>
      <c r="J1" s="2" t="s">
        <v>8</v>
      </c>
      <c r="M1" t="s">
        <v>343</v>
      </c>
      <c r="N1" t="s">
        <v>344</v>
      </c>
    </row>
    <row r="2" spans="1:14" x14ac:dyDescent="0.25">
      <c r="A2" s="1" t="s">
        <v>9</v>
      </c>
      <c r="B2" s="1" t="s">
        <v>10</v>
      </c>
      <c r="C2" s="1" t="s">
        <v>11</v>
      </c>
      <c r="D2" s="1" t="s">
        <v>12</v>
      </c>
      <c r="E2" s="6">
        <v>1937</v>
      </c>
      <c r="F2" s="6">
        <v>310</v>
      </c>
      <c r="G2" s="6">
        <v>4.8</v>
      </c>
      <c r="H2" s="4">
        <f xml:space="preserve"> VALUE(books[[#This Row],[copies]])</f>
        <v>5</v>
      </c>
      <c r="I2" s="2" t="s">
        <v>13</v>
      </c>
      <c r="J2" s="6">
        <v>3</v>
      </c>
      <c r="M2" t="s">
        <v>345</v>
      </c>
      <c r="N2">
        <f>ROWS(books[book_id])</f>
        <v>110</v>
      </c>
    </row>
    <row r="3" spans="1:14" x14ac:dyDescent="0.25">
      <c r="A3" s="1" t="s">
        <v>15</v>
      </c>
      <c r="B3" s="1" t="s">
        <v>16</v>
      </c>
      <c r="C3" s="1" t="s">
        <v>17</v>
      </c>
      <c r="D3" s="1" t="s">
        <v>18</v>
      </c>
      <c r="E3" s="6">
        <v>1949</v>
      </c>
      <c r="F3" s="6">
        <v>328</v>
      </c>
      <c r="G3" s="6">
        <v>4.7</v>
      </c>
      <c r="H3" s="4">
        <f xml:space="preserve"> VALUE(books[[#This Row],[copies]])</f>
        <v>6</v>
      </c>
      <c r="I3" s="2" t="s">
        <v>19</v>
      </c>
      <c r="J3" s="6">
        <v>2</v>
      </c>
      <c r="M3" t="s">
        <v>346</v>
      </c>
      <c r="N3">
        <f>SUM(books[cop_num])</f>
        <v>535</v>
      </c>
    </row>
    <row r="4" spans="1:14" x14ac:dyDescent="0.25">
      <c r="A4" s="1" t="s">
        <v>20</v>
      </c>
      <c r="B4" s="1" t="s">
        <v>21</v>
      </c>
      <c r="C4" s="1" t="s">
        <v>17</v>
      </c>
      <c r="D4" s="1" t="s">
        <v>22</v>
      </c>
      <c r="E4" s="6">
        <v>1945</v>
      </c>
      <c r="F4" s="6">
        <v>112</v>
      </c>
      <c r="G4" s="6">
        <v>4.5999999999999996</v>
      </c>
      <c r="H4" s="4">
        <f xml:space="preserve"> VALUE(books[[#This Row],[copies]])</f>
        <v>4</v>
      </c>
      <c r="I4" s="2" t="s">
        <v>23</v>
      </c>
      <c r="J4" s="6">
        <v>4</v>
      </c>
      <c r="M4" t="s">
        <v>8</v>
      </c>
      <c r="N4">
        <f>SUM(books[available_copies])</f>
        <v>266</v>
      </c>
    </row>
    <row r="5" spans="1:14" x14ac:dyDescent="0.25">
      <c r="A5" s="1" t="s">
        <v>24</v>
      </c>
      <c r="B5" s="1" t="s">
        <v>25</v>
      </c>
      <c r="C5" s="1" t="s">
        <v>26</v>
      </c>
      <c r="D5" s="1" t="s">
        <v>27</v>
      </c>
      <c r="E5" s="6">
        <v>1813</v>
      </c>
      <c r="F5" s="6">
        <v>432</v>
      </c>
      <c r="G5" s="6">
        <v>4.8</v>
      </c>
      <c r="H5" s="4">
        <f xml:space="preserve"> VALUE(books[[#This Row],[copies]])</f>
        <v>5</v>
      </c>
      <c r="I5" s="2" t="s">
        <v>13</v>
      </c>
      <c r="J5" s="6">
        <v>2</v>
      </c>
      <c r="M5" t="s">
        <v>348</v>
      </c>
      <c r="N5" s="3">
        <f>AVERAGE(books[rating])</f>
        <v>4.5745454545454551</v>
      </c>
    </row>
    <row r="6" spans="1:14" x14ac:dyDescent="0.25">
      <c r="A6" s="1" t="s">
        <v>28</v>
      </c>
      <c r="B6" s="1" t="s">
        <v>29</v>
      </c>
      <c r="C6" s="1" t="s">
        <v>30</v>
      </c>
      <c r="D6" s="1" t="s">
        <v>31</v>
      </c>
      <c r="E6" s="6">
        <v>1925</v>
      </c>
      <c r="F6" s="6">
        <v>180</v>
      </c>
      <c r="G6" s="6">
        <v>4.5</v>
      </c>
      <c r="H6" s="4">
        <f xml:space="preserve"> VALUE(books[[#This Row],[copies]])</f>
        <v>4</v>
      </c>
      <c r="I6" s="2" t="s">
        <v>23</v>
      </c>
      <c r="J6" s="6">
        <v>1</v>
      </c>
    </row>
    <row r="7" spans="1:14" x14ac:dyDescent="0.25">
      <c r="A7" s="1" t="s">
        <v>32</v>
      </c>
      <c r="B7" s="1" t="s">
        <v>33</v>
      </c>
      <c r="C7" s="1" t="s">
        <v>34</v>
      </c>
      <c r="D7" s="1" t="s">
        <v>31</v>
      </c>
      <c r="E7" s="6">
        <v>1960</v>
      </c>
      <c r="F7" s="6">
        <v>336</v>
      </c>
      <c r="G7" s="6">
        <v>4.8</v>
      </c>
      <c r="H7" s="4">
        <f xml:space="preserve"> VALUE(books[[#This Row],[copies]])</f>
        <v>6</v>
      </c>
      <c r="I7" s="2" t="s">
        <v>19</v>
      </c>
      <c r="J7" s="6">
        <v>4</v>
      </c>
    </row>
    <row r="8" spans="1:14" x14ac:dyDescent="0.25">
      <c r="A8" s="1" t="s">
        <v>35</v>
      </c>
      <c r="B8" s="1" t="s">
        <v>36</v>
      </c>
      <c r="C8" s="1" t="s">
        <v>37</v>
      </c>
      <c r="D8" s="1" t="s">
        <v>31</v>
      </c>
      <c r="E8" s="6">
        <v>1951</v>
      </c>
      <c r="F8" s="6">
        <v>277</v>
      </c>
      <c r="G8" s="6">
        <v>4.2</v>
      </c>
      <c r="H8" s="4">
        <f xml:space="preserve"> VALUE(books[[#This Row],[copies]])</f>
        <v>4</v>
      </c>
      <c r="I8" s="2" t="s">
        <v>23</v>
      </c>
      <c r="J8" s="6">
        <v>2</v>
      </c>
    </row>
    <row r="9" spans="1:14" x14ac:dyDescent="0.25">
      <c r="A9" s="1" t="s">
        <v>38</v>
      </c>
      <c r="B9" s="1" t="s">
        <v>39</v>
      </c>
      <c r="C9" s="1" t="s">
        <v>40</v>
      </c>
      <c r="D9" s="1" t="s">
        <v>18</v>
      </c>
      <c r="E9" s="6">
        <v>1932</v>
      </c>
      <c r="F9" s="6">
        <v>268</v>
      </c>
      <c r="G9" s="6">
        <v>4.5</v>
      </c>
      <c r="H9" s="4">
        <f xml:space="preserve"> VALUE(books[[#This Row],[copies]])</f>
        <v>5</v>
      </c>
      <c r="I9" s="2" t="s">
        <v>13</v>
      </c>
      <c r="J9" s="6">
        <v>3</v>
      </c>
    </row>
    <row r="10" spans="1:14" x14ac:dyDescent="0.25">
      <c r="A10" s="1" t="s">
        <v>41</v>
      </c>
      <c r="B10" s="1" t="s">
        <v>42</v>
      </c>
      <c r="C10" s="1" t="s">
        <v>43</v>
      </c>
      <c r="D10" s="1" t="s">
        <v>18</v>
      </c>
      <c r="E10" s="6">
        <v>1953</v>
      </c>
      <c r="F10" s="6">
        <v>249</v>
      </c>
      <c r="G10" s="6">
        <v>4.5999999999999996</v>
      </c>
      <c r="H10" s="4">
        <f xml:space="preserve"> VALUE(books[[#This Row],[copies]])</f>
        <v>5</v>
      </c>
      <c r="I10" s="2" t="s">
        <v>13</v>
      </c>
      <c r="J10" s="6">
        <v>2</v>
      </c>
    </row>
    <row r="11" spans="1:14" x14ac:dyDescent="0.25">
      <c r="A11" s="1" t="s">
        <v>44</v>
      </c>
      <c r="B11" s="1" t="s">
        <v>45</v>
      </c>
      <c r="C11" s="1" t="s">
        <v>46</v>
      </c>
      <c r="D11" s="1" t="s">
        <v>47</v>
      </c>
      <c r="E11" s="6">
        <v>1988</v>
      </c>
      <c r="F11" s="6">
        <v>208</v>
      </c>
      <c r="G11" s="6">
        <v>4.4000000000000004</v>
      </c>
      <c r="H11" s="4">
        <f xml:space="preserve"> VALUE(books[[#This Row],[copies]])</f>
        <v>7</v>
      </c>
      <c r="I11" s="2" t="s">
        <v>48</v>
      </c>
      <c r="J11" s="6">
        <v>5</v>
      </c>
    </row>
    <row r="12" spans="1:14" x14ac:dyDescent="0.25">
      <c r="A12" s="1" t="s">
        <v>49</v>
      </c>
      <c r="B12" s="1" t="s">
        <v>50</v>
      </c>
      <c r="C12" s="1" t="s">
        <v>51</v>
      </c>
      <c r="D12" s="1" t="s">
        <v>12</v>
      </c>
      <c r="E12" s="6">
        <v>1997</v>
      </c>
      <c r="F12" s="6">
        <v>309</v>
      </c>
      <c r="G12" s="6">
        <v>4.9000000000000004</v>
      </c>
      <c r="H12" s="4">
        <f xml:space="preserve"> VALUE(books[[#This Row],[copies]])</f>
        <v>8</v>
      </c>
      <c r="I12" s="2" t="s">
        <v>52</v>
      </c>
      <c r="J12" s="6">
        <v>5</v>
      </c>
    </row>
    <row r="13" spans="1:14" x14ac:dyDescent="0.25">
      <c r="A13" s="1" t="s">
        <v>53</v>
      </c>
      <c r="B13" s="1" t="s">
        <v>54</v>
      </c>
      <c r="C13" s="1" t="s">
        <v>51</v>
      </c>
      <c r="D13" s="1" t="s">
        <v>12</v>
      </c>
      <c r="E13" s="6">
        <v>1998</v>
      </c>
      <c r="F13" s="6">
        <v>341</v>
      </c>
      <c r="G13" s="6">
        <v>4.8</v>
      </c>
      <c r="H13" s="4">
        <f xml:space="preserve"> VALUE(books[[#This Row],[copies]])</f>
        <v>7</v>
      </c>
      <c r="I13" s="2" t="s">
        <v>48</v>
      </c>
      <c r="J13" s="6">
        <v>4</v>
      </c>
    </row>
    <row r="14" spans="1:14" x14ac:dyDescent="0.25">
      <c r="A14" s="1" t="s">
        <v>55</v>
      </c>
      <c r="B14" s="1" t="s">
        <v>56</v>
      </c>
      <c r="C14" s="1" t="s">
        <v>51</v>
      </c>
      <c r="D14" s="1" t="s">
        <v>12</v>
      </c>
      <c r="E14" s="6">
        <v>1999</v>
      </c>
      <c r="F14" s="6">
        <v>435</v>
      </c>
      <c r="G14" s="6">
        <v>4.9000000000000004</v>
      </c>
      <c r="H14" s="4">
        <f xml:space="preserve"> VALUE(books[[#This Row],[copies]])</f>
        <v>8</v>
      </c>
      <c r="I14" s="2" t="s">
        <v>52</v>
      </c>
      <c r="J14" s="6">
        <v>3</v>
      </c>
    </row>
    <row r="15" spans="1:14" x14ac:dyDescent="0.25">
      <c r="A15" s="1" t="s">
        <v>57</v>
      </c>
      <c r="B15" s="1" t="s">
        <v>58</v>
      </c>
      <c r="C15" s="1" t="s">
        <v>51</v>
      </c>
      <c r="D15" s="1" t="s">
        <v>12</v>
      </c>
      <c r="E15" s="6">
        <v>2000</v>
      </c>
      <c r="F15" s="6">
        <v>734</v>
      </c>
      <c r="G15" s="6">
        <v>4.8</v>
      </c>
      <c r="H15" s="4">
        <f xml:space="preserve"> VALUE(books[[#This Row],[copies]])</f>
        <v>6</v>
      </c>
      <c r="I15" s="2" t="s">
        <v>19</v>
      </c>
      <c r="J15" s="6">
        <v>2</v>
      </c>
    </row>
    <row r="16" spans="1:14" x14ac:dyDescent="0.25">
      <c r="A16" s="1" t="s">
        <v>59</v>
      </c>
      <c r="B16" s="1" t="s">
        <v>60</v>
      </c>
      <c r="C16" s="1" t="s">
        <v>11</v>
      </c>
      <c r="D16" s="1" t="s">
        <v>12</v>
      </c>
      <c r="E16" s="6">
        <v>1954</v>
      </c>
      <c r="F16" s="6">
        <v>423</v>
      </c>
      <c r="G16" s="6">
        <v>4.9000000000000004</v>
      </c>
      <c r="H16" s="4">
        <f xml:space="preserve"> VALUE(books[[#This Row],[copies]])</f>
        <v>7</v>
      </c>
      <c r="I16" s="2" t="s">
        <v>48</v>
      </c>
      <c r="J16" s="6">
        <v>3</v>
      </c>
    </row>
    <row r="17" spans="1:10" x14ac:dyDescent="0.25">
      <c r="A17" s="1" t="s">
        <v>61</v>
      </c>
      <c r="B17" s="1" t="s">
        <v>62</v>
      </c>
      <c r="C17" s="1" t="s">
        <v>11</v>
      </c>
      <c r="D17" s="1" t="s">
        <v>12</v>
      </c>
      <c r="E17" s="6">
        <v>1954</v>
      </c>
      <c r="F17" s="6">
        <v>352</v>
      </c>
      <c r="G17" s="6">
        <v>4.8</v>
      </c>
      <c r="H17" s="4">
        <f xml:space="preserve"> VALUE(books[[#This Row],[copies]])</f>
        <v>6</v>
      </c>
      <c r="I17" s="2" t="s">
        <v>19</v>
      </c>
      <c r="J17" s="6">
        <v>4</v>
      </c>
    </row>
    <row r="18" spans="1:10" x14ac:dyDescent="0.25">
      <c r="A18" s="1" t="s">
        <v>63</v>
      </c>
      <c r="B18" s="1" t="s">
        <v>64</v>
      </c>
      <c r="C18" s="1" t="s">
        <v>11</v>
      </c>
      <c r="D18" s="1" t="s">
        <v>12</v>
      </c>
      <c r="E18" s="6">
        <v>1955</v>
      </c>
      <c r="F18" s="6">
        <v>416</v>
      </c>
      <c r="G18" s="6">
        <v>4.9000000000000004</v>
      </c>
      <c r="H18" s="4">
        <f xml:space="preserve"> VALUE(books[[#This Row],[copies]])</f>
        <v>7</v>
      </c>
      <c r="I18" s="2" t="s">
        <v>48</v>
      </c>
      <c r="J18" s="6">
        <v>2</v>
      </c>
    </row>
    <row r="19" spans="1:10" x14ac:dyDescent="0.25">
      <c r="A19" s="1" t="s">
        <v>65</v>
      </c>
      <c r="B19" s="1" t="s">
        <v>66</v>
      </c>
      <c r="C19" s="1" t="s">
        <v>67</v>
      </c>
      <c r="D19" s="1" t="s">
        <v>68</v>
      </c>
      <c r="E19" s="6">
        <v>1965</v>
      </c>
      <c r="F19" s="6">
        <v>688</v>
      </c>
      <c r="G19" s="6">
        <v>4.8</v>
      </c>
      <c r="H19" s="4">
        <f xml:space="preserve"> VALUE(books[[#This Row],[copies]])</f>
        <v>6</v>
      </c>
      <c r="I19" s="2" t="s">
        <v>19</v>
      </c>
      <c r="J19" s="6">
        <v>1</v>
      </c>
    </row>
    <row r="20" spans="1:10" x14ac:dyDescent="0.25">
      <c r="A20" s="1" t="s">
        <v>69</v>
      </c>
      <c r="B20" s="1" t="s">
        <v>70</v>
      </c>
      <c r="C20" s="1" t="s">
        <v>71</v>
      </c>
      <c r="D20" s="1" t="s">
        <v>68</v>
      </c>
      <c r="E20" s="6">
        <v>1951</v>
      </c>
      <c r="F20" s="6">
        <v>255</v>
      </c>
      <c r="G20" s="6">
        <v>4.5999999999999996</v>
      </c>
      <c r="H20" s="4">
        <f xml:space="preserve"> VALUE(books[[#This Row],[copies]])</f>
        <v>4</v>
      </c>
      <c r="I20" s="2" t="s">
        <v>23</v>
      </c>
      <c r="J20" s="6">
        <v>2</v>
      </c>
    </row>
    <row r="21" spans="1:10" x14ac:dyDescent="0.25">
      <c r="A21" s="1" t="s">
        <v>72</v>
      </c>
      <c r="B21" s="1" t="s">
        <v>73</v>
      </c>
      <c r="C21" s="1" t="s">
        <v>74</v>
      </c>
      <c r="D21" s="1" t="s">
        <v>68</v>
      </c>
      <c r="E21" s="6">
        <v>1984</v>
      </c>
      <c r="F21" s="6">
        <v>271</v>
      </c>
      <c r="G21" s="6">
        <v>4.3</v>
      </c>
      <c r="H21" s="4">
        <f xml:space="preserve"> VALUE(books[[#This Row],[copies]])</f>
        <v>3</v>
      </c>
      <c r="I21" s="2" t="s">
        <v>14</v>
      </c>
      <c r="J21" s="6">
        <v>1</v>
      </c>
    </row>
    <row r="22" spans="1:10" x14ac:dyDescent="0.25">
      <c r="A22" s="1" t="s">
        <v>75</v>
      </c>
      <c r="B22" s="1" t="s">
        <v>76</v>
      </c>
      <c r="C22" s="1" t="s">
        <v>77</v>
      </c>
      <c r="D22" s="1" t="s">
        <v>68</v>
      </c>
      <c r="E22" s="6">
        <v>2011</v>
      </c>
      <c r="F22" s="6">
        <v>369</v>
      </c>
      <c r="G22" s="6">
        <v>4.7</v>
      </c>
      <c r="H22" s="4">
        <f xml:space="preserve"> VALUE(books[[#This Row],[copies]])</f>
        <v>5</v>
      </c>
      <c r="I22" s="2" t="s">
        <v>13</v>
      </c>
      <c r="J22" s="6">
        <v>3</v>
      </c>
    </row>
    <row r="23" spans="1:10" x14ac:dyDescent="0.25">
      <c r="A23" s="1" t="s">
        <v>78</v>
      </c>
      <c r="B23" s="1" t="s">
        <v>79</v>
      </c>
      <c r="C23" s="1" t="s">
        <v>77</v>
      </c>
      <c r="D23" s="1" t="s">
        <v>68</v>
      </c>
      <c r="E23" s="6">
        <v>2021</v>
      </c>
      <c r="F23" s="6">
        <v>496</v>
      </c>
      <c r="G23" s="6">
        <v>4.9000000000000004</v>
      </c>
      <c r="H23" s="4">
        <f xml:space="preserve"> VALUE(books[[#This Row],[copies]])</f>
        <v>6</v>
      </c>
      <c r="I23" s="2" t="s">
        <v>19</v>
      </c>
      <c r="J23" s="6">
        <v>4</v>
      </c>
    </row>
    <row r="24" spans="1:10" x14ac:dyDescent="0.25">
      <c r="A24" s="1" t="s">
        <v>80</v>
      </c>
      <c r="B24" s="1" t="s">
        <v>81</v>
      </c>
      <c r="C24" s="1" t="s">
        <v>82</v>
      </c>
      <c r="D24" s="1" t="s">
        <v>83</v>
      </c>
      <c r="E24" s="6">
        <v>2011</v>
      </c>
      <c r="F24" s="6">
        <v>443</v>
      </c>
      <c r="G24" s="6">
        <v>4.7</v>
      </c>
      <c r="H24" s="4">
        <f xml:space="preserve"> VALUE(books[[#This Row],[copies]])</f>
        <v>6</v>
      </c>
      <c r="I24" s="2" t="s">
        <v>19</v>
      </c>
      <c r="J24" s="6">
        <v>3</v>
      </c>
    </row>
    <row r="25" spans="1:10" x14ac:dyDescent="0.25">
      <c r="A25" s="1" t="s">
        <v>84</v>
      </c>
      <c r="B25" s="1" t="s">
        <v>85</v>
      </c>
      <c r="C25" s="1" t="s">
        <v>82</v>
      </c>
      <c r="D25" s="1" t="s">
        <v>83</v>
      </c>
      <c r="E25" s="6">
        <v>2015</v>
      </c>
      <c r="F25" s="6">
        <v>449</v>
      </c>
      <c r="G25" s="6">
        <v>4.4000000000000004</v>
      </c>
      <c r="H25" s="4">
        <f xml:space="preserve"> VALUE(books[[#This Row],[copies]])</f>
        <v>4</v>
      </c>
      <c r="I25" s="2" t="s">
        <v>23</v>
      </c>
      <c r="J25" s="6">
        <v>2</v>
      </c>
    </row>
    <row r="26" spans="1:10" x14ac:dyDescent="0.25">
      <c r="A26" s="1" t="s">
        <v>86</v>
      </c>
      <c r="B26" s="1" t="s">
        <v>87</v>
      </c>
      <c r="C26" s="1" t="s">
        <v>88</v>
      </c>
      <c r="D26" s="1" t="s">
        <v>89</v>
      </c>
      <c r="E26" s="6">
        <v>2018</v>
      </c>
      <c r="F26" s="6">
        <v>334</v>
      </c>
      <c r="G26" s="6">
        <v>4.7</v>
      </c>
      <c r="H26" s="4">
        <f xml:space="preserve"> VALUE(books[[#This Row],[copies]])</f>
        <v>5</v>
      </c>
      <c r="I26" s="2" t="s">
        <v>13</v>
      </c>
      <c r="J26" s="6">
        <v>3</v>
      </c>
    </row>
    <row r="27" spans="1:10" x14ac:dyDescent="0.25">
      <c r="A27" s="1" t="s">
        <v>90</v>
      </c>
      <c r="B27" s="1" t="s">
        <v>91</v>
      </c>
      <c r="C27" s="1" t="s">
        <v>92</v>
      </c>
      <c r="D27" s="1" t="s">
        <v>89</v>
      </c>
      <c r="E27" s="6">
        <v>2018</v>
      </c>
      <c r="F27" s="6">
        <v>448</v>
      </c>
      <c r="G27" s="6">
        <v>4.7</v>
      </c>
      <c r="H27" s="4">
        <f xml:space="preserve"> VALUE(books[[#This Row],[copies]])</f>
        <v>5</v>
      </c>
      <c r="I27" s="2" t="s">
        <v>13</v>
      </c>
      <c r="J27" s="6">
        <v>2</v>
      </c>
    </row>
    <row r="28" spans="1:10" x14ac:dyDescent="0.25">
      <c r="A28" s="1" t="s">
        <v>93</v>
      </c>
      <c r="B28" s="1" t="s">
        <v>94</v>
      </c>
      <c r="C28" s="1" t="s">
        <v>95</v>
      </c>
      <c r="D28" s="1" t="s">
        <v>96</v>
      </c>
      <c r="E28" s="6">
        <v>2018</v>
      </c>
      <c r="F28" s="6">
        <v>320</v>
      </c>
      <c r="G28" s="6">
        <v>4.8</v>
      </c>
      <c r="H28" s="4">
        <f xml:space="preserve"> VALUE(books[[#This Row],[copies]])</f>
        <v>8</v>
      </c>
      <c r="I28" s="2" t="s">
        <v>52</v>
      </c>
      <c r="J28" s="6">
        <v>5</v>
      </c>
    </row>
    <row r="29" spans="1:10" x14ac:dyDescent="0.25">
      <c r="A29" s="1" t="s">
        <v>97</v>
      </c>
      <c r="B29" s="1" t="s">
        <v>98</v>
      </c>
      <c r="C29" s="1" t="s">
        <v>99</v>
      </c>
      <c r="D29" s="1" t="s">
        <v>100</v>
      </c>
      <c r="E29" s="6">
        <v>2016</v>
      </c>
      <c r="F29" s="6">
        <v>296</v>
      </c>
      <c r="G29" s="6">
        <v>4.5999999999999996</v>
      </c>
      <c r="H29" s="4">
        <f xml:space="preserve"> VALUE(books[[#This Row],[copies]])</f>
        <v>5</v>
      </c>
      <c r="I29" s="2" t="s">
        <v>13</v>
      </c>
      <c r="J29" s="6">
        <v>2</v>
      </c>
    </row>
    <row r="30" spans="1:10" x14ac:dyDescent="0.25">
      <c r="A30" s="1" t="s">
        <v>101</v>
      </c>
      <c r="B30" s="1" t="s">
        <v>102</v>
      </c>
      <c r="C30" s="1" t="s">
        <v>103</v>
      </c>
      <c r="D30" s="1" t="s">
        <v>96</v>
      </c>
      <c r="E30" s="6">
        <v>1989</v>
      </c>
      <c r="F30" s="6">
        <v>464</v>
      </c>
      <c r="G30" s="6">
        <v>4.5999999999999996</v>
      </c>
      <c r="H30" s="4">
        <f xml:space="preserve"> VALUE(books[[#This Row],[copies]])</f>
        <v>5</v>
      </c>
      <c r="I30" s="2" t="s">
        <v>13</v>
      </c>
      <c r="J30" s="6">
        <v>1</v>
      </c>
    </row>
    <row r="31" spans="1:10" x14ac:dyDescent="0.25">
      <c r="A31" s="1" t="s">
        <v>104</v>
      </c>
      <c r="B31" s="1" t="s">
        <v>105</v>
      </c>
      <c r="C31" s="1" t="s">
        <v>106</v>
      </c>
      <c r="D31" s="1" t="s">
        <v>107</v>
      </c>
      <c r="E31" s="6">
        <v>2011</v>
      </c>
      <c r="F31" s="6">
        <v>499</v>
      </c>
      <c r="G31" s="6">
        <v>4.5</v>
      </c>
      <c r="H31" s="4">
        <f xml:space="preserve"> VALUE(books[[#This Row],[copies]])</f>
        <v>4</v>
      </c>
      <c r="I31" s="2" t="s">
        <v>23</v>
      </c>
      <c r="J31" s="6">
        <v>2</v>
      </c>
    </row>
    <row r="32" spans="1:10" x14ac:dyDescent="0.25">
      <c r="A32" s="1" t="s">
        <v>108</v>
      </c>
      <c r="B32" s="1" t="s">
        <v>109</v>
      </c>
      <c r="C32" s="1" t="s">
        <v>110</v>
      </c>
      <c r="D32" s="1" t="s">
        <v>111</v>
      </c>
      <c r="E32" s="6">
        <v>2020</v>
      </c>
      <c r="F32" s="6">
        <v>256</v>
      </c>
      <c r="G32" s="6">
        <v>4.7</v>
      </c>
      <c r="H32" s="4">
        <f xml:space="preserve"> VALUE(books[[#This Row],[copies]])</f>
        <v>7</v>
      </c>
      <c r="I32" s="2" t="s">
        <v>48</v>
      </c>
      <c r="J32" s="6">
        <v>4</v>
      </c>
    </row>
    <row r="33" spans="1:10" x14ac:dyDescent="0.25">
      <c r="A33" s="1" t="s">
        <v>112</v>
      </c>
      <c r="B33" s="1" t="s">
        <v>113</v>
      </c>
      <c r="C33" s="1" t="s">
        <v>114</v>
      </c>
      <c r="D33" s="1" t="s">
        <v>111</v>
      </c>
      <c r="E33" s="6">
        <v>1997</v>
      </c>
      <c r="F33" s="6">
        <v>336</v>
      </c>
      <c r="G33" s="6">
        <v>4.3</v>
      </c>
      <c r="H33" s="4">
        <f xml:space="preserve"> VALUE(books[[#This Row],[copies]])</f>
        <v>6</v>
      </c>
      <c r="I33" s="2" t="s">
        <v>19</v>
      </c>
      <c r="J33" s="6">
        <v>3</v>
      </c>
    </row>
    <row r="34" spans="1:10" x14ac:dyDescent="0.25">
      <c r="A34" s="1" t="s">
        <v>115</v>
      </c>
      <c r="B34" s="1" t="s">
        <v>116</v>
      </c>
      <c r="C34" s="1" t="s">
        <v>117</v>
      </c>
      <c r="D34" s="1" t="s">
        <v>111</v>
      </c>
      <c r="E34" s="6">
        <v>1949</v>
      </c>
      <c r="F34" s="6">
        <v>640</v>
      </c>
      <c r="G34" s="6">
        <v>4.5</v>
      </c>
      <c r="H34" s="4">
        <f xml:space="preserve"> VALUE(books[[#This Row],[copies]])</f>
        <v>3</v>
      </c>
      <c r="I34" s="2" t="s">
        <v>14</v>
      </c>
      <c r="J34" s="6">
        <v>1</v>
      </c>
    </row>
    <row r="35" spans="1:10" x14ac:dyDescent="0.25">
      <c r="A35" s="1" t="s">
        <v>118</v>
      </c>
      <c r="B35" s="1" t="s">
        <v>119</v>
      </c>
      <c r="C35" s="1" t="s">
        <v>120</v>
      </c>
      <c r="D35" s="1" t="s">
        <v>121</v>
      </c>
      <c r="E35" s="6">
        <v>2014</v>
      </c>
      <c r="F35" s="6">
        <v>224</v>
      </c>
      <c r="G35" s="6">
        <v>4.4000000000000004</v>
      </c>
      <c r="H35" s="4">
        <f xml:space="preserve"> VALUE(books[[#This Row],[copies]])</f>
        <v>4</v>
      </c>
      <c r="I35" s="2" t="s">
        <v>23</v>
      </c>
      <c r="J35" s="6">
        <v>2</v>
      </c>
    </row>
    <row r="36" spans="1:10" x14ac:dyDescent="0.25">
      <c r="A36" s="1" t="s">
        <v>122</v>
      </c>
      <c r="B36" s="1" t="s">
        <v>123</v>
      </c>
      <c r="C36" s="1" t="s">
        <v>124</v>
      </c>
      <c r="D36" s="1" t="s">
        <v>121</v>
      </c>
      <c r="E36" s="6">
        <v>2001</v>
      </c>
      <c r="F36" s="6">
        <v>400</v>
      </c>
      <c r="G36" s="6">
        <v>4.5</v>
      </c>
      <c r="H36" s="4">
        <f xml:space="preserve"> VALUE(books[[#This Row],[copies]])</f>
        <v>5</v>
      </c>
      <c r="I36" s="2" t="s">
        <v>13</v>
      </c>
      <c r="J36" s="6">
        <v>2</v>
      </c>
    </row>
    <row r="37" spans="1:10" x14ac:dyDescent="0.25">
      <c r="A37" s="1" t="s">
        <v>125</v>
      </c>
      <c r="B37" s="1" t="s">
        <v>126</v>
      </c>
      <c r="C37" s="1" t="s">
        <v>127</v>
      </c>
      <c r="D37" s="1" t="s">
        <v>121</v>
      </c>
      <c r="E37" s="6">
        <v>2011</v>
      </c>
      <c r="F37" s="6">
        <v>336</v>
      </c>
      <c r="G37" s="6">
        <v>4.4000000000000004</v>
      </c>
      <c r="H37" s="4">
        <f xml:space="preserve"> VALUE(books[[#This Row],[copies]])</f>
        <v>5</v>
      </c>
      <c r="I37" s="2" t="s">
        <v>13</v>
      </c>
      <c r="J37" s="6">
        <v>3</v>
      </c>
    </row>
    <row r="38" spans="1:10" x14ac:dyDescent="0.25">
      <c r="A38" s="1" t="s">
        <v>128</v>
      </c>
      <c r="B38" s="1" t="s">
        <v>129</v>
      </c>
      <c r="C38" s="1" t="s">
        <v>130</v>
      </c>
      <c r="D38" s="1" t="s">
        <v>121</v>
      </c>
      <c r="E38" s="6">
        <v>2009</v>
      </c>
      <c r="F38" s="6">
        <v>256</v>
      </c>
      <c r="G38" s="6">
        <v>4.5</v>
      </c>
      <c r="H38" s="4">
        <f xml:space="preserve"> VALUE(books[[#This Row],[copies]])</f>
        <v>4</v>
      </c>
      <c r="I38" s="2" t="s">
        <v>23</v>
      </c>
      <c r="J38" s="6">
        <v>1</v>
      </c>
    </row>
    <row r="39" spans="1:10" x14ac:dyDescent="0.25">
      <c r="A39" s="1" t="s">
        <v>131</v>
      </c>
      <c r="B39" s="1" t="s">
        <v>132</v>
      </c>
      <c r="C39" s="1" t="s">
        <v>133</v>
      </c>
      <c r="D39" s="1" t="s">
        <v>107</v>
      </c>
      <c r="E39" s="6">
        <v>2008</v>
      </c>
      <c r="F39" s="6">
        <v>309</v>
      </c>
      <c r="G39" s="6">
        <v>4.5</v>
      </c>
      <c r="H39" s="4">
        <f xml:space="preserve"> VALUE(books[[#This Row],[copies]])</f>
        <v>5</v>
      </c>
      <c r="I39" s="2" t="s">
        <v>13</v>
      </c>
      <c r="J39" s="6">
        <v>3</v>
      </c>
    </row>
    <row r="40" spans="1:10" x14ac:dyDescent="0.25">
      <c r="A40" s="1" t="s">
        <v>134</v>
      </c>
      <c r="B40" s="1" t="s">
        <v>135</v>
      </c>
      <c r="C40" s="1" t="s">
        <v>133</v>
      </c>
      <c r="D40" s="1" t="s">
        <v>107</v>
      </c>
      <c r="E40" s="6">
        <v>2005</v>
      </c>
      <c r="F40" s="6">
        <v>296</v>
      </c>
      <c r="G40" s="6">
        <v>4.2</v>
      </c>
      <c r="H40" s="4">
        <f xml:space="preserve"> VALUE(books[[#This Row],[copies]])</f>
        <v>4</v>
      </c>
      <c r="I40" s="2" t="s">
        <v>23</v>
      </c>
      <c r="J40" s="6">
        <v>2</v>
      </c>
    </row>
    <row r="41" spans="1:10" x14ac:dyDescent="0.25">
      <c r="A41" s="1" t="s">
        <v>136</v>
      </c>
      <c r="B41" s="1" t="s">
        <v>137</v>
      </c>
      <c r="C41" s="1" t="s">
        <v>138</v>
      </c>
      <c r="D41" s="1" t="s">
        <v>107</v>
      </c>
      <c r="E41" s="6">
        <v>1946</v>
      </c>
      <c r="F41" s="6">
        <v>165</v>
      </c>
      <c r="G41" s="6">
        <v>4.8</v>
      </c>
      <c r="H41" s="4">
        <f xml:space="preserve"> VALUE(books[[#This Row],[copies]])</f>
        <v>5</v>
      </c>
      <c r="I41" s="2" t="s">
        <v>13</v>
      </c>
      <c r="J41" s="6">
        <v>4</v>
      </c>
    </row>
    <row r="42" spans="1:10" x14ac:dyDescent="0.25">
      <c r="A42" s="1" t="s">
        <v>139</v>
      </c>
      <c r="B42" s="1" t="s">
        <v>140</v>
      </c>
      <c r="C42" s="1" t="s">
        <v>141</v>
      </c>
      <c r="D42" s="1" t="s">
        <v>142</v>
      </c>
      <c r="E42" s="6">
        <v>180</v>
      </c>
      <c r="F42" s="6">
        <v>254</v>
      </c>
      <c r="G42" s="6">
        <v>4.7</v>
      </c>
      <c r="H42" s="4">
        <f xml:space="preserve"> VALUE(books[[#This Row],[copies]])</f>
        <v>4</v>
      </c>
      <c r="I42" s="2" t="s">
        <v>23</v>
      </c>
      <c r="J42" s="6">
        <v>2</v>
      </c>
    </row>
    <row r="43" spans="1:10" x14ac:dyDescent="0.25">
      <c r="A43" s="1" t="s">
        <v>143</v>
      </c>
      <c r="B43" s="1" t="s">
        <v>144</v>
      </c>
      <c r="C43" s="1" t="s">
        <v>145</v>
      </c>
      <c r="D43" s="1" t="s">
        <v>142</v>
      </c>
      <c r="E43" s="6">
        <v>-380</v>
      </c>
      <c r="F43" s="6">
        <v>416</v>
      </c>
      <c r="G43" s="6">
        <v>4.4000000000000004</v>
      </c>
      <c r="H43" s="4">
        <f xml:space="preserve"> VALUE(books[[#This Row],[copies]])</f>
        <v>3</v>
      </c>
      <c r="I43" s="2" t="s">
        <v>14</v>
      </c>
      <c r="J43" s="6">
        <v>1</v>
      </c>
    </row>
    <row r="44" spans="1:10" x14ac:dyDescent="0.25">
      <c r="A44" s="1" t="s">
        <v>146</v>
      </c>
      <c r="B44" s="1" t="s">
        <v>147</v>
      </c>
      <c r="C44" s="1" t="s">
        <v>148</v>
      </c>
      <c r="D44" s="1" t="s">
        <v>142</v>
      </c>
      <c r="E44" s="6">
        <v>1883</v>
      </c>
      <c r="F44" s="6">
        <v>352</v>
      </c>
      <c r="G44" s="6">
        <v>4.3</v>
      </c>
      <c r="H44" s="4">
        <f xml:space="preserve"> VALUE(books[[#This Row],[copies]])</f>
        <v>3</v>
      </c>
      <c r="I44" s="2" t="s">
        <v>14</v>
      </c>
      <c r="J44" s="6">
        <v>2</v>
      </c>
    </row>
    <row r="45" spans="1:10" x14ac:dyDescent="0.25">
      <c r="A45" s="1" t="s">
        <v>149</v>
      </c>
      <c r="B45" s="1" t="s">
        <v>150</v>
      </c>
      <c r="C45" s="1" t="s">
        <v>151</v>
      </c>
      <c r="D45" s="1" t="s">
        <v>142</v>
      </c>
      <c r="E45" s="6">
        <v>-500</v>
      </c>
      <c r="F45" s="6">
        <v>273</v>
      </c>
      <c r="G45" s="6">
        <v>4.5</v>
      </c>
      <c r="H45" s="4">
        <f xml:space="preserve"> VALUE(books[[#This Row],[copies]])</f>
        <v>5</v>
      </c>
      <c r="I45" s="2" t="s">
        <v>13</v>
      </c>
      <c r="J45" s="6">
        <v>3</v>
      </c>
    </row>
    <row r="46" spans="1:10" x14ac:dyDescent="0.25">
      <c r="A46" s="1" t="s">
        <v>152</v>
      </c>
      <c r="B46" s="1" t="s">
        <v>153</v>
      </c>
      <c r="C46" s="1" t="s">
        <v>154</v>
      </c>
      <c r="D46" s="1" t="s">
        <v>31</v>
      </c>
      <c r="E46" s="6">
        <v>1866</v>
      </c>
      <c r="F46" s="6">
        <v>671</v>
      </c>
      <c r="G46" s="6">
        <v>4.7</v>
      </c>
      <c r="H46" s="4">
        <f xml:space="preserve"> VALUE(books[[#This Row],[copies]])</f>
        <v>4</v>
      </c>
      <c r="I46" s="2" t="s">
        <v>23</v>
      </c>
      <c r="J46" s="6">
        <v>2</v>
      </c>
    </row>
    <row r="47" spans="1:10" x14ac:dyDescent="0.25">
      <c r="A47" s="1" t="s">
        <v>155</v>
      </c>
      <c r="B47" s="1" t="s">
        <v>156</v>
      </c>
      <c r="C47" s="1" t="s">
        <v>154</v>
      </c>
      <c r="D47" s="1" t="s">
        <v>31</v>
      </c>
      <c r="E47" s="6">
        <v>1880</v>
      </c>
      <c r="F47" s="6">
        <v>796</v>
      </c>
      <c r="G47" s="6">
        <v>4.8</v>
      </c>
      <c r="H47" s="4">
        <f xml:space="preserve"> VALUE(books[[#This Row],[copies]])</f>
        <v>3</v>
      </c>
      <c r="I47" s="2" t="s">
        <v>14</v>
      </c>
      <c r="J47" s="6">
        <v>1</v>
      </c>
    </row>
    <row r="48" spans="1:10" x14ac:dyDescent="0.25">
      <c r="A48" s="1" t="s">
        <v>157</v>
      </c>
      <c r="B48" s="1" t="s">
        <v>158</v>
      </c>
      <c r="C48" s="1" t="s">
        <v>159</v>
      </c>
      <c r="D48" s="1" t="s">
        <v>31</v>
      </c>
      <c r="E48" s="6">
        <v>1878</v>
      </c>
      <c r="F48" s="6">
        <v>864</v>
      </c>
      <c r="G48" s="6">
        <v>4.5999999999999996</v>
      </c>
      <c r="H48" s="4">
        <f xml:space="preserve"> VALUE(books[[#This Row],[copies]])</f>
        <v>4</v>
      </c>
      <c r="I48" s="2" t="s">
        <v>23</v>
      </c>
      <c r="J48" s="6">
        <v>2</v>
      </c>
    </row>
    <row r="49" spans="1:10" x14ac:dyDescent="0.25">
      <c r="A49" s="1" t="s">
        <v>160</v>
      </c>
      <c r="B49" s="1" t="s">
        <v>161</v>
      </c>
      <c r="C49" s="1" t="s">
        <v>159</v>
      </c>
      <c r="D49" s="1" t="s">
        <v>31</v>
      </c>
      <c r="E49" s="6">
        <v>1869</v>
      </c>
      <c r="F49" s="6">
        <v>1225</v>
      </c>
      <c r="G49" s="6">
        <v>4.7</v>
      </c>
      <c r="H49" s="4">
        <f xml:space="preserve"> VALUE(books[[#This Row],[copies]])</f>
        <v>3</v>
      </c>
      <c r="I49" s="2" t="s">
        <v>14</v>
      </c>
      <c r="J49" s="6">
        <v>1</v>
      </c>
    </row>
    <row r="50" spans="1:10" x14ac:dyDescent="0.25">
      <c r="A50" s="1" t="s">
        <v>162</v>
      </c>
      <c r="B50" s="1" t="s">
        <v>163</v>
      </c>
      <c r="C50" s="1" t="s">
        <v>164</v>
      </c>
      <c r="D50" s="1" t="s">
        <v>31</v>
      </c>
      <c r="E50" s="6">
        <v>1890</v>
      </c>
      <c r="F50" s="6">
        <v>254</v>
      </c>
      <c r="G50" s="6">
        <v>4.5</v>
      </c>
      <c r="H50" s="4">
        <f xml:space="preserve"> VALUE(books[[#This Row],[copies]])</f>
        <v>4</v>
      </c>
      <c r="I50" s="2" t="s">
        <v>23</v>
      </c>
      <c r="J50" s="6">
        <v>3</v>
      </c>
    </row>
    <row r="51" spans="1:10" x14ac:dyDescent="0.25">
      <c r="A51" s="1" t="s">
        <v>165</v>
      </c>
      <c r="B51" s="1" t="s">
        <v>166</v>
      </c>
      <c r="C51" s="1" t="s">
        <v>167</v>
      </c>
      <c r="D51" s="1" t="s">
        <v>31</v>
      </c>
      <c r="E51" s="6">
        <v>1847</v>
      </c>
      <c r="F51" s="6">
        <v>532</v>
      </c>
      <c r="G51" s="6">
        <v>4.7</v>
      </c>
      <c r="H51" s="4">
        <f xml:space="preserve"> VALUE(books[[#This Row],[copies]])</f>
        <v>5</v>
      </c>
      <c r="I51" s="2" t="s">
        <v>13</v>
      </c>
      <c r="J51" s="6">
        <v>2</v>
      </c>
    </row>
    <row r="52" spans="1:10" x14ac:dyDescent="0.25">
      <c r="A52" s="1" t="s">
        <v>168</v>
      </c>
      <c r="B52" s="1" t="s">
        <v>169</v>
      </c>
      <c r="C52" s="1" t="s">
        <v>170</v>
      </c>
      <c r="D52" s="1" t="s">
        <v>31</v>
      </c>
      <c r="E52" s="6">
        <v>1847</v>
      </c>
      <c r="F52" s="6">
        <v>416</v>
      </c>
      <c r="G52" s="6">
        <v>4.4000000000000004</v>
      </c>
      <c r="H52" s="4">
        <f xml:space="preserve"> VALUE(books[[#This Row],[copies]])</f>
        <v>4</v>
      </c>
      <c r="I52" s="2" t="s">
        <v>23</v>
      </c>
      <c r="J52" s="6">
        <v>2</v>
      </c>
    </row>
    <row r="53" spans="1:10" x14ac:dyDescent="0.25">
      <c r="A53" s="1" t="s">
        <v>171</v>
      </c>
      <c r="B53" s="1" t="s">
        <v>172</v>
      </c>
      <c r="C53" s="1" t="s">
        <v>173</v>
      </c>
      <c r="D53" s="1" t="s">
        <v>31</v>
      </c>
      <c r="E53" s="6">
        <v>1952</v>
      </c>
      <c r="F53" s="6">
        <v>128</v>
      </c>
      <c r="G53" s="6">
        <v>4.5</v>
      </c>
      <c r="H53" s="4">
        <f xml:space="preserve"> VALUE(books[[#This Row],[copies]])</f>
        <v>4</v>
      </c>
      <c r="I53" s="2" t="s">
        <v>23</v>
      </c>
      <c r="J53" s="6">
        <v>3</v>
      </c>
    </row>
    <row r="54" spans="1:10" x14ac:dyDescent="0.25">
      <c r="A54" s="1" t="s">
        <v>174</v>
      </c>
      <c r="B54" s="1" t="s">
        <v>175</v>
      </c>
      <c r="C54" s="1" t="s">
        <v>173</v>
      </c>
      <c r="D54" s="1" t="s">
        <v>31</v>
      </c>
      <c r="E54" s="6">
        <v>1940</v>
      </c>
      <c r="F54" s="6">
        <v>480</v>
      </c>
      <c r="G54" s="6">
        <v>4.3</v>
      </c>
      <c r="H54" s="4">
        <f xml:space="preserve"> VALUE(books[[#This Row],[copies]])</f>
        <v>3</v>
      </c>
      <c r="I54" s="2" t="s">
        <v>14</v>
      </c>
      <c r="J54" s="6">
        <v>1</v>
      </c>
    </row>
    <row r="55" spans="1:10" x14ac:dyDescent="0.25">
      <c r="A55" s="1" t="s">
        <v>176</v>
      </c>
      <c r="B55" s="1" t="s">
        <v>177</v>
      </c>
      <c r="C55" s="1" t="s">
        <v>178</v>
      </c>
      <c r="D55" s="1" t="s">
        <v>31</v>
      </c>
      <c r="E55" s="6">
        <v>1939</v>
      </c>
      <c r="F55" s="6">
        <v>528</v>
      </c>
      <c r="G55" s="6">
        <v>4.5999999999999996</v>
      </c>
      <c r="H55" s="4">
        <f xml:space="preserve"> VALUE(books[[#This Row],[copies]])</f>
        <v>4</v>
      </c>
      <c r="I55" s="2" t="s">
        <v>23</v>
      </c>
      <c r="J55" s="6">
        <v>2</v>
      </c>
    </row>
    <row r="56" spans="1:10" x14ac:dyDescent="0.25">
      <c r="A56" s="1" t="s">
        <v>179</v>
      </c>
      <c r="B56" s="1" t="s">
        <v>180</v>
      </c>
      <c r="C56" s="1" t="s">
        <v>178</v>
      </c>
      <c r="D56" s="1" t="s">
        <v>31</v>
      </c>
      <c r="E56" s="6">
        <v>1937</v>
      </c>
      <c r="F56" s="6">
        <v>107</v>
      </c>
      <c r="G56" s="6">
        <v>4.5</v>
      </c>
      <c r="H56" s="4">
        <f xml:space="preserve"> VALUE(books[[#This Row],[copies]])</f>
        <v>5</v>
      </c>
      <c r="I56" s="2" t="s">
        <v>13</v>
      </c>
      <c r="J56" s="6">
        <v>4</v>
      </c>
    </row>
    <row r="57" spans="1:10" x14ac:dyDescent="0.25">
      <c r="A57" s="1" t="s">
        <v>181</v>
      </c>
      <c r="B57" s="1" t="s">
        <v>182</v>
      </c>
      <c r="C57" s="1" t="s">
        <v>183</v>
      </c>
      <c r="D57" s="1" t="s">
        <v>18</v>
      </c>
      <c r="E57" s="6">
        <v>2006</v>
      </c>
      <c r="F57" s="6">
        <v>287</v>
      </c>
      <c r="G57" s="6">
        <v>4.4000000000000004</v>
      </c>
      <c r="H57" s="4">
        <f xml:space="preserve"> VALUE(books[[#This Row],[copies]])</f>
        <v>4</v>
      </c>
      <c r="I57" s="2" t="s">
        <v>23</v>
      </c>
      <c r="J57" s="6">
        <v>1</v>
      </c>
    </row>
    <row r="58" spans="1:10" x14ac:dyDescent="0.25">
      <c r="A58" s="1" t="s">
        <v>184</v>
      </c>
      <c r="B58" s="1" t="s">
        <v>185</v>
      </c>
      <c r="C58" s="1" t="s">
        <v>186</v>
      </c>
      <c r="D58" s="1" t="s">
        <v>18</v>
      </c>
      <c r="E58" s="6">
        <v>1985</v>
      </c>
      <c r="F58" s="6">
        <v>311</v>
      </c>
      <c r="G58" s="6">
        <v>4.5999999999999996</v>
      </c>
      <c r="H58" s="4">
        <f xml:space="preserve"> VALUE(books[[#This Row],[copies]])</f>
        <v>5</v>
      </c>
      <c r="I58" s="2" t="s">
        <v>13</v>
      </c>
      <c r="J58" s="6">
        <v>2</v>
      </c>
    </row>
    <row r="59" spans="1:10" x14ac:dyDescent="0.25">
      <c r="A59" s="1" t="s">
        <v>187</v>
      </c>
      <c r="B59" s="1" t="s">
        <v>188</v>
      </c>
      <c r="C59" s="1" t="s">
        <v>189</v>
      </c>
      <c r="D59" s="1" t="s">
        <v>18</v>
      </c>
      <c r="E59" s="6">
        <v>2005</v>
      </c>
      <c r="F59" s="6">
        <v>288</v>
      </c>
      <c r="G59" s="6">
        <v>4.3</v>
      </c>
      <c r="H59" s="4">
        <f xml:space="preserve"> VALUE(books[[#This Row],[copies]])</f>
        <v>4</v>
      </c>
      <c r="I59" s="2" t="s">
        <v>23</v>
      </c>
      <c r="J59" s="6">
        <v>2</v>
      </c>
    </row>
    <row r="60" spans="1:10" x14ac:dyDescent="0.25">
      <c r="A60" s="1" t="s">
        <v>190</v>
      </c>
      <c r="B60" s="1" t="s">
        <v>191</v>
      </c>
      <c r="C60" s="1" t="s">
        <v>192</v>
      </c>
      <c r="D60" s="1" t="s">
        <v>12</v>
      </c>
      <c r="E60" s="6">
        <v>2007</v>
      </c>
      <c r="F60" s="6">
        <v>662</v>
      </c>
      <c r="G60" s="6">
        <v>4.8</v>
      </c>
      <c r="H60" s="4">
        <f xml:space="preserve"> VALUE(books[[#This Row],[copies]])</f>
        <v>5</v>
      </c>
      <c r="I60" s="2" t="s">
        <v>13</v>
      </c>
      <c r="J60" s="6">
        <v>2</v>
      </c>
    </row>
    <row r="61" spans="1:10" x14ac:dyDescent="0.25">
      <c r="A61" s="1" t="s">
        <v>193</v>
      </c>
      <c r="B61" s="1" t="s">
        <v>194</v>
      </c>
      <c r="C61" s="1" t="s">
        <v>195</v>
      </c>
      <c r="D61" s="1" t="s">
        <v>12</v>
      </c>
      <c r="E61" s="6">
        <v>1996</v>
      </c>
      <c r="F61" s="6">
        <v>694</v>
      </c>
      <c r="G61" s="6">
        <v>4.8</v>
      </c>
      <c r="H61" s="4">
        <f xml:space="preserve"> VALUE(books[[#This Row],[copies]])</f>
        <v>8</v>
      </c>
      <c r="I61" s="2" t="s">
        <v>52</v>
      </c>
      <c r="J61" s="6">
        <v>3</v>
      </c>
    </row>
    <row r="62" spans="1:10" x14ac:dyDescent="0.25">
      <c r="A62" s="1" t="s">
        <v>196</v>
      </c>
      <c r="B62" s="1" t="s">
        <v>197</v>
      </c>
      <c r="C62" s="1" t="s">
        <v>195</v>
      </c>
      <c r="D62" s="1" t="s">
        <v>12</v>
      </c>
      <c r="E62" s="6">
        <v>1998</v>
      </c>
      <c r="F62" s="6">
        <v>768</v>
      </c>
      <c r="G62" s="6">
        <v>4.7</v>
      </c>
      <c r="H62" s="4">
        <f xml:space="preserve"> VALUE(books[[#This Row],[copies]])</f>
        <v>6</v>
      </c>
      <c r="I62" s="2" t="s">
        <v>19</v>
      </c>
      <c r="J62" s="6">
        <v>2</v>
      </c>
    </row>
    <row r="63" spans="1:10" x14ac:dyDescent="0.25">
      <c r="A63" s="1" t="s">
        <v>198</v>
      </c>
      <c r="B63" s="1" t="s">
        <v>199</v>
      </c>
      <c r="C63" s="1" t="s">
        <v>200</v>
      </c>
      <c r="D63" s="1" t="s">
        <v>12</v>
      </c>
      <c r="E63" s="6">
        <v>1950</v>
      </c>
      <c r="F63" s="6">
        <v>208</v>
      </c>
      <c r="G63" s="6">
        <v>4.7</v>
      </c>
      <c r="H63" s="4">
        <f xml:space="preserve"> VALUE(books[[#This Row],[copies]])</f>
        <v>6</v>
      </c>
      <c r="I63" s="2" t="s">
        <v>19</v>
      </c>
      <c r="J63" s="6">
        <v>4</v>
      </c>
    </row>
    <row r="64" spans="1:10" x14ac:dyDescent="0.25">
      <c r="A64" s="1" t="s">
        <v>201</v>
      </c>
      <c r="B64" s="1" t="s">
        <v>202</v>
      </c>
      <c r="C64" s="1" t="s">
        <v>200</v>
      </c>
      <c r="D64" s="1" t="s">
        <v>12</v>
      </c>
      <c r="E64" s="6">
        <v>1956</v>
      </c>
      <c r="F64" s="6">
        <v>767</v>
      </c>
      <c r="G64" s="6">
        <v>4.8</v>
      </c>
      <c r="H64" s="4">
        <f xml:space="preserve"> VALUE(books[[#This Row],[copies]])</f>
        <v>5</v>
      </c>
      <c r="I64" s="2" t="s">
        <v>13</v>
      </c>
      <c r="J64" s="6">
        <v>3</v>
      </c>
    </row>
    <row r="65" spans="1:10" x14ac:dyDescent="0.25">
      <c r="A65" s="1" t="s">
        <v>203</v>
      </c>
      <c r="B65" s="1" t="s">
        <v>204</v>
      </c>
      <c r="C65" s="1" t="s">
        <v>205</v>
      </c>
      <c r="D65" s="1" t="s">
        <v>47</v>
      </c>
      <c r="E65" s="6">
        <v>1943</v>
      </c>
      <c r="F65" s="6">
        <v>96</v>
      </c>
      <c r="G65" s="6">
        <v>4.8</v>
      </c>
      <c r="H65" s="4">
        <f xml:space="preserve"> VALUE(books[[#This Row],[copies]])</f>
        <v>8</v>
      </c>
      <c r="I65" s="2" t="s">
        <v>52</v>
      </c>
      <c r="J65" s="6">
        <v>5</v>
      </c>
    </row>
    <row r="66" spans="1:10" x14ac:dyDescent="0.25">
      <c r="A66" s="1" t="s">
        <v>206</v>
      </c>
      <c r="B66" s="1" t="s">
        <v>207</v>
      </c>
      <c r="C66" s="1" t="s">
        <v>208</v>
      </c>
      <c r="D66" s="1" t="s">
        <v>47</v>
      </c>
      <c r="E66" s="6">
        <v>2003</v>
      </c>
      <c r="F66" s="6">
        <v>371</v>
      </c>
      <c r="G66" s="6">
        <v>4.7</v>
      </c>
      <c r="H66" s="4">
        <f xml:space="preserve"> VALUE(books[[#This Row],[copies]])</f>
        <v>5</v>
      </c>
      <c r="I66" s="2" t="s">
        <v>13</v>
      </c>
      <c r="J66" s="6">
        <v>2</v>
      </c>
    </row>
    <row r="67" spans="1:10" x14ac:dyDescent="0.25">
      <c r="A67" s="1" t="s">
        <v>209</v>
      </c>
      <c r="B67" s="1" t="s">
        <v>210</v>
      </c>
      <c r="C67" s="1" t="s">
        <v>208</v>
      </c>
      <c r="D67" s="1" t="s">
        <v>47</v>
      </c>
      <c r="E67" s="6">
        <v>2007</v>
      </c>
      <c r="F67" s="6">
        <v>372</v>
      </c>
      <c r="G67" s="6">
        <v>4.7</v>
      </c>
      <c r="H67" s="4">
        <f xml:space="preserve"> VALUE(books[[#This Row],[copies]])</f>
        <v>5</v>
      </c>
      <c r="I67" s="2" t="s">
        <v>13</v>
      </c>
      <c r="J67" s="6">
        <v>3</v>
      </c>
    </row>
    <row r="68" spans="1:10" x14ac:dyDescent="0.25">
      <c r="A68" s="1" t="s">
        <v>211</v>
      </c>
      <c r="B68" s="1" t="s">
        <v>212</v>
      </c>
      <c r="C68" s="1" t="s">
        <v>213</v>
      </c>
      <c r="D68" s="1" t="s">
        <v>47</v>
      </c>
      <c r="E68" s="6">
        <v>2001</v>
      </c>
      <c r="F68" s="6">
        <v>319</v>
      </c>
      <c r="G68" s="6">
        <v>4.5</v>
      </c>
      <c r="H68" s="4">
        <f xml:space="preserve"> VALUE(books[[#This Row],[copies]])</f>
        <v>4</v>
      </c>
      <c r="I68" s="2" t="s">
        <v>23</v>
      </c>
      <c r="J68" s="6">
        <v>2</v>
      </c>
    </row>
    <row r="69" spans="1:10" x14ac:dyDescent="0.25">
      <c r="A69" s="1" t="s">
        <v>214</v>
      </c>
      <c r="B69" s="1" t="s">
        <v>215</v>
      </c>
      <c r="C69" s="1" t="s">
        <v>216</v>
      </c>
      <c r="D69" s="1" t="s">
        <v>217</v>
      </c>
      <c r="E69" s="6">
        <v>2005</v>
      </c>
      <c r="F69" s="6">
        <v>584</v>
      </c>
      <c r="G69" s="6">
        <v>4.7</v>
      </c>
      <c r="H69" s="4">
        <f xml:space="preserve"> VALUE(books[[#This Row],[copies]])</f>
        <v>5</v>
      </c>
      <c r="I69" s="2" t="s">
        <v>13</v>
      </c>
      <c r="J69" s="6">
        <v>1</v>
      </c>
    </row>
    <row r="70" spans="1:10" x14ac:dyDescent="0.25">
      <c r="A70" s="1" t="s">
        <v>218</v>
      </c>
      <c r="B70" s="1" t="s">
        <v>219</v>
      </c>
      <c r="C70" s="1" t="s">
        <v>220</v>
      </c>
      <c r="D70" s="1" t="s">
        <v>217</v>
      </c>
      <c r="E70" s="6">
        <v>2014</v>
      </c>
      <c r="F70" s="6">
        <v>531</v>
      </c>
      <c r="G70" s="6">
        <v>4.5999999999999996</v>
      </c>
      <c r="H70" s="4">
        <f xml:space="preserve"> VALUE(books[[#This Row],[copies]])</f>
        <v>4</v>
      </c>
      <c r="I70" s="2" t="s">
        <v>23</v>
      </c>
      <c r="J70" s="6">
        <v>2</v>
      </c>
    </row>
    <row r="71" spans="1:10" x14ac:dyDescent="0.25">
      <c r="A71" s="1" t="s">
        <v>221</v>
      </c>
      <c r="B71" s="1" t="s">
        <v>222</v>
      </c>
      <c r="C71" s="1" t="s">
        <v>223</v>
      </c>
      <c r="D71" s="1" t="s">
        <v>217</v>
      </c>
      <c r="E71" s="6">
        <v>2015</v>
      </c>
      <c r="F71" s="6">
        <v>440</v>
      </c>
      <c r="G71" s="6">
        <v>4.7</v>
      </c>
      <c r="H71" s="4">
        <f xml:space="preserve"> VALUE(books[[#This Row],[copies]])</f>
        <v>5</v>
      </c>
      <c r="I71" s="2" t="s">
        <v>13</v>
      </c>
      <c r="J71" s="6">
        <v>3</v>
      </c>
    </row>
    <row r="72" spans="1:10" x14ac:dyDescent="0.25">
      <c r="A72" s="1" t="s">
        <v>224</v>
      </c>
      <c r="B72" s="1" t="s">
        <v>225</v>
      </c>
      <c r="C72" s="1" t="s">
        <v>226</v>
      </c>
      <c r="D72" s="1" t="s">
        <v>227</v>
      </c>
      <c r="E72" s="6">
        <v>2003</v>
      </c>
      <c r="F72" s="6">
        <v>489</v>
      </c>
      <c r="G72" s="6">
        <v>4.2</v>
      </c>
      <c r="H72" s="4">
        <f xml:space="preserve"> VALUE(books[[#This Row],[copies]])</f>
        <v>6</v>
      </c>
      <c r="I72" s="2" t="s">
        <v>19</v>
      </c>
      <c r="J72" s="6">
        <v>3</v>
      </c>
    </row>
    <row r="73" spans="1:10" x14ac:dyDescent="0.25">
      <c r="A73" s="1" t="s">
        <v>228</v>
      </c>
      <c r="B73" s="1" t="s">
        <v>229</v>
      </c>
      <c r="C73" s="1" t="s">
        <v>230</v>
      </c>
      <c r="D73" s="1" t="s">
        <v>227</v>
      </c>
      <c r="E73" s="6">
        <v>2012</v>
      </c>
      <c r="F73" s="6">
        <v>422</v>
      </c>
      <c r="G73" s="6">
        <v>4.4000000000000004</v>
      </c>
      <c r="H73" s="4">
        <f xml:space="preserve"> VALUE(books[[#This Row],[copies]])</f>
        <v>5</v>
      </c>
      <c r="I73" s="2" t="s">
        <v>13</v>
      </c>
      <c r="J73" s="6">
        <v>2</v>
      </c>
    </row>
    <row r="74" spans="1:10" x14ac:dyDescent="0.25">
      <c r="A74" s="1" t="s">
        <v>231</v>
      </c>
      <c r="B74" s="1" t="s">
        <v>232</v>
      </c>
      <c r="C74" s="1" t="s">
        <v>233</v>
      </c>
      <c r="D74" s="1" t="s">
        <v>227</v>
      </c>
      <c r="E74" s="6">
        <v>2005</v>
      </c>
      <c r="F74" s="6">
        <v>465</v>
      </c>
      <c r="G74" s="6">
        <v>4.4000000000000004</v>
      </c>
      <c r="H74" s="4">
        <f xml:space="preserve"> VALUE(books[[#This Row],[copies]])</f>
        <v>4</v>
      </c>
      <c r="I74" s="2" t="s">
        <v>23</v>
      </c>
      <c r="J74" s="6">
        <v>1</v>
      </c>
    </row>
    <row r="75" spans="1:10" x14ac:dyDescent="0.25">
      <c r="A75" s="1" t="s">
        <v>234</v>
      </c>
      <c r="B75" s="1" t="s">
        <v>235</v>
      </c>
      <c r="C75" s="1" t="s">
        <v>236</v>
      </c>
      <c r="D75" s="1" t="s">
        <v>227</v>
      </c>
      <c r="E75" s="6">
        <v>1934</v>
      </c>
      <c r="F75" s="6">
        <v>274</v>
      </c>
      <c r="G75" s="6">
        <v>4.5999999999999996</v>
      </c>
      <c r="H75" s="4">
        <f xml:space="preserve"> VALUE(books[[#This Row],[copies]])</f>
        <v>5</v>
      </c>
      <c r="I75" s="2" t="s">
        <v>13</v>
      </c>
      <c r="J75" s="6">
        <v>3</v>
      </c>
    </row>
    <row r="76" spans="1:10" x14ac:dyDescent="0.25">
      <c r="A76" s="1" t="s">
        <v>237</v>
      </c>
      <c r="B76" s="1" t="s">
        <v>238</v>
      </c>
      <c r="C76" s="1" t="s">
        <v>236</v>
      </c>
      <c r="D76" s="1" t="s">
        <v>227</v>
      </c>
      <c r="E76" s="6">
        <v>1939</v>
      </c>
      <c r="F76" s="6">
        <v>272</v>
      </c>
      <c r="G76" s="6">
        <v>4.7</v>
      </c>
      <c r="H76" s="4">
        <f xml:space="preserve"> VALUE(books[[#This Row],[copies]])</f>
        <v>6</v>
      </c>
      <c r="I76" s="2" t="s">
        <v>19</v>
      </c>
      <c r="J76" s="6">
        <v>4</v>
      </c>
    </row>
    <row r="77" spans="1:10" x14ac:dyDescent="0.25">
      <c r="A77" s="1" t="s">
        <v>239</v>
      </c>
      <c r="B77" s="1" t="s">
        <v>240</v>
      </c>
      <c r="C77" s="1" t="s">
        <v>241</v>
      </c>
      <c r="D77" s="1" t="s">
        <v>227</v>
      </c>
      <c r="E77" s="6">
        <v>1902</v>
      </c>
      <c r="F77" s="6">
        <v>256</v>
      </c>
      <c r="G77" s="6">
        <v>4.5</v>
      </c>
      <c r="H77" s="4">
        <f xml:space="preserve"> VALUE(books[[#This Row],[copies]])</f>
        <v>4</v>
      </c>
      <c r="I77" s="2" t="s">
        <v>23</v>
      </c>
      <c r="J77" s="6">
        <v>2</v>
      </c>
    </row>
    <row r="78" spans="1:10" x14ac:dyDescent="0.25">
      <c r="A78" s="1" t="s">
        <v>242</v>
      </c>
      <c r="B78" s="1" t="s">
        <v>243</v>
      </c>
      <c r="C78" s="1" t="s">
        <v>244</v>
      </c>
      <c r="D78" s="1" t="s">
        <v>227</v>
      </c>
      <c r="E78" s="6">
        <v>2019</v>
      </c>
      <c r="F78" s="6">
        <v>336</v>
      </c>
      <c r="G78" s="6">
        <v>4.5</v>
      </c>
      <c r="H78" s="4">
        <f xml:space="preserve"> VALUE(books[[#This Row],[copies]])</f>
        <v>6</v>
      </c>
      <c r="I78" s="2" t="s">
        <v>19</v>
      </c>
      <c r="J78" s="6">
        <v>2</v>
      </c>
    </row>
    <row r="79" spans="1:10" x14ac:dyDescent="0.25">
      <c r="A79" s="1" t="s">
        <v>245</v>
      </c>
      <c r="B79" s="1" t="s">
        <v>246</v>
      </c>
      <c r="C79" s="1" t="s">
        <v>247</v>
      </c>
      <c r="D79" s="1" t="s">
        <v>248</v>
      </c>
      <c r="E79" s="6">
        <v>1977</v>
      </c>
      <c r="F79" s="6">
        <v>447</v>
      </c>
      <c r="G79" s="6">
        <v>4.5</v>
      </c>
      <c r="H79" s="4">
        <f xml:space="preserve"> VALUE(books[[#This Row],[copies]])</f>
        <v>5</v>
      </c>
      <c r="I79" s="2" t="s">
        <v>13</v>
      </c>
      <c r="J79" s="6">
        <v>2</v>
      </c>
    </row>
    <row r="80" spans="1:10" x14ac:dyDescent="0.25">
      <c r="A80" s="1" t="s">
        <v>249</v>
      </c>
      <c r="B80" s="1" t="s">
        <v>250</v>
      </c>
      <c r="C80" s="1" t="s">
        <v>247</v>
      </c>
      <c r="D80" s="1" t="s">
        <v>248</v>
      </c>
      <c r="E80" s="6">
        <v>1986</v>
      </c>
      <c r="F80" s="6">
        <v>1138</v>
      </c>
      <c r="G80" s="6">
        <v>4.5999999999999996</v>
      </c>
      <c r="H80" s="4">
        <f xml:space="preserve"> VALUE(books[[#This Row],[copies]])</f>
        <v>4</v>
      </c>
      <c r="I80" s="2" t="s">
        <v>23</v>
      </c>
      <c r="J80" s="6">
        <v>1</v>
      </c>
    </row>
    <row r="81" spans="1:10" x14ac:dyDescent="0.25">
      <c r="A81" s="1" t="s">
        <v>251</v>
      </c>
      <c r="B81" s="1" t="s">
        <v>252</v>
      </c>
      <c r="C81" s="1" t="s">
        <v>247</v>
      </c>
      <c r="D81" s="1" t="s">
        <v>248</v>
      </c>
      <c r="E81" s="6">
        <v>1983</v>
      </c>
      <c r="F81" s="6">
        <v>374</v>
      </c>
      <c r="G81" s="6">
        <v>4.4000000000000004</v>
      </c>
      <c r="H81" s="4">
        <f xml:space="preserve"> VALUE(books[[#This Row],[copies]])</f>
        <v>3</v>
      </c>
      <c r="I81" s="2" t="s">
        <v>14</v>
      </c>
      <c r="J81" s="6">
        <v>1</v>
      </c>
    </row>
    <row r="82" spans="1:10" x14ac:dyDescent="0.25">
      <c r="A82" s="1" t="s">
        <v>253</v>
      </c>
      <c r="B82" s="1" t="s">
        <v>254</v>
      </c>
      <c r="C82" s="1" t="s">
        <v>255</v>
      </c>
      <c r="D82" s="1" t="s">
        <v>248</v>
      </c>
      <c r="E82" s="6">
        <v>1897</v>
      </c>
      <c r="F82" s="6">
        <v>418</v>
      </c>
      <c r="G82" s="6">
        <v>4.5</v>
      </c>
      <c r="H82" s="4">
        <f xml:space="preserve"> VALUE(books[[#This Row],[copies]])</f>
        <v>5</v>
      </c>
      <c r="I82" s="2" t="s">
        <v>13</v>
      </c>
      <c r="J82" s="6">
        <v>3</v>
      </c>
    </row>
    <row r="83" spans="1:10" x14ac:dyDescent="0.25">
      <c r="A83" s="1" t="s">
        <v>256</v>
      </c>
      <c r="B83" s="1" t="s">
        <v>257</v>
      </c>
      <c r="C83" s="1" t="s">
        <v>258</v>
      </c>
      <c r="D83" s="1" t="s">
        <v>248</v>
      </c>
      <c r="E83" s="6">
        <v>1818</v>
      </c>
      <c r="F83" s="6">
        <v>280</v>
      </c>
      <c r="G83" s="6">
        <v>4.5999999999999996</v>
      </c>
      <c r="H83" s="4">
        <f xml:space="preserve"> VALUE(books[[#This Row],[copies]])</f>
        <v>5</v>
      </c>
      <c r="I83" s="2" t="s">
        <v>13</v>
      </c>
      <c r="J83" s="6">
        <v>3</v>
      </c>
    </row>
    <row r="84" spans="1:10" x14ac:dyDescent="0.25">
      <c r="A84" s="1" t="s">
        <v>259</v>
      </c>
      <c r="B84" s="1" t="s">
        <v>260</v>
      </c>
      <c r="C84" s="1" t="s">
        <v>261</v>
      </c>
      <c r="D84" s="1" t="s">
        <v>248</v>
      </c>
      <c r="E84" s="6">
        <v>1959</v>
      </c>
      <c r="F84" s="6">
        <v>182</v>
      </c>
      <c r="G84" s="6">
        <v>4.3</v>
      </c>
      <c r="H84" s="4">
        <f xml:space="preserve"> VALUE(books[[#This Row],[copies]])</f>
        <v>3</v>
      </c>
      <c r="I84" s="2" t="s">
        <v>14</v>
      </c>
      <c r="J84" s="6">
        <v>1</v>
      </c>
    </row>
    <row r="85" spans="1:10" x14ac:dyDescent="0.25">
      <c r="A85" s="1" t="s">
        <v>262</v>
      </c>
      <c r="B85" s="1" t="s">
        <v>263</v>
      </c>
      <c r="C85" s="1" t="s">
        <v>264</v>
      </c>
      <c r="D85" s="1" t="s">
        <v>27</v>
      </c>
      <c r="E85" s="6">
        <v>2012</v>
      </c>
      <c r="F85" s="6">
        <v>313</v>
      </c>
      <c r="G85" s="6">
        <v>4.4000000000000004</v>
      </c>
      <c r="H85" s="4">
        <f xml:space="preserve"> VALUE(books[[#This Row],[copies]])</f>
        <v>5</v>
      </c>
      <c r="I85" s="2" t="s">
        <v>13</v>
      </c>
      <c r="J85" s="6">
        <v>2</v>
      </c>
    </row>
    <row r="86" spans="1:10" x14ac:dyDescent="0.25">
      <c r="A86" s="1" t="s">
        <v>265</v>
      </c>
      <c r="B86" s="1" t="s">
        <v>266</v>
      </c>
      <c r="C86" s="1" t="s">
        <v>267</v>
      </c>
      <c r="D86" s="1" t="s">
        <v>27</v>
      </c>
      <c r="E86" s="6">
        <v>2012</v>
      </c>
      <c r="F86" s="6">
        <v>369</v>
      </c>
      <c r="G86" s="6">
        <v>4.5</v>
      </c>
      <c r="H86" s="4">
        <f xml:space="preserve"> VALUE(books[[#This Row],[copies]])</f>
        <v>5</v>
      </c>
      <c r="I86" s="2" t="s">
        <v>13</v>
      </c>
      <c r="J86" s="6">
        <v>3</v>
      </c>
    </row>
    <row r="87" spans="1:10" x14ac:dyDescent="0.25">
      <c r="A87" s="1" t="s">
        <v>268</v>
      </c>
      <c r="B87" s="1" t="s">
        <v>269</v>
      </c>
      <c r="C87" s="1" t="s">
        <v>270</v>
      </c>
      <c r="D87" s="1" t="s">
        <v>27</v>
      </c>
      <c r="E87" s="6">
        <v>2018</v>
      </c>
      <c r="F87" s="6">
        <v>273</v>
      </c>
      <c r="G87" s="6">
        <v>4.0999999999999996</v>
      </c>
      <c r="H87" s="4">
        <f xml:space="preserve"> VALUE(books[[#This Row],[copies]])</f>
        <v>4</v>
      </c>
      <c r="I87" s="2" t="s">
        <v>23</v>
      </c>
      <c r="J87" s="6">
        <v>2</v>
      </c>
    </row>
    <row r="88" spans="1:10" x14ac:dyDescent="0.25">
      <c r="A88" s="1" t="s">
        <v>271</v>
      </c>
      <c r="B88" s="1" t="s">
        <v>272</v>
      </c>
      <c r="C88" s="1" t="s">
        <v>273</v>
      </c>
      <c r="D88" s="1" t="s">
        <v>27</v>
      </c>
      <c r="E88" s="6">
        <v>1996</v>
      </c>
      <c r="F88" s="6">
        <v>214</v>
      </c>
      <c r="G88" s="6">
        <v>4.2</v>
      </c>
      <c r="H88" s="4">
        <f xml:space="preserve"> VALUE(books[[#This Row],[copies]])</f>
        <v>4</v>
      </c>
      <c r="I88" s="2" t="s">
        <v>23</v>
      </c>
      <c r="J88" s="6">
        <v>2</v>
      </c>
    </row>
    <row r="89" spans="1:10" x14ac:dyDescent="0.25">
      <c r="A89" s="1" t="s">
        <v>274</v>
      </c>
      <c r="B89" s="1" t="s">
        <v>275</v>
      </c>
      <c r="C89" s="1" t="s">
        <v>276</v>
      </c>
      <c r="D89" s="1" t="s">
        <v>27</v>
      </c>
      <c r="E89" s="6">
        <v>2017</v>
      </c>
      <c r="F89" s="6">
        <v>400</v>
      </c>
      <c r="G89" s="6">
        <v>4.5999999999999996</v>
      </c>
      <c r="H89" s="4">
        <f xml:space="preserve"> VALUE(books[[#This Row],[copies]])</f>
        <v>6</v>
      </c>
      <c r="I89" s="2" t="s">
        <v>19</v>
      </c>
      <c r="J89" s="6">
        <v>4</v>
      </c>
    </row>
    <row r="90" spans="1:10" x14ac:dyDescent="0.25">
      <c r="A90" s="1" t="s">
        <v>277</v>
      </c>
      <c r="B90" s="1" t="s">
        <v>278</v>
      </c>
      <c r="C90" s="1" t="s">
        <v>279</v>
      </c>
      <c r="D90" s="1" t="s">
        <v>47</v>
      </c>
      <c r="E90" s="6">
        <v>2020</v>
      </c>
      <c r="F90" s="6">
        <v>304</v>
      </c>
      <c r="G90" s="6">
        <v>4.4000000000000004</v>
      </c>
      <c r="H90" s="4">
        <f xml:space="preserve"> VALUE(books[[#This Row],[copies]])</f>
        <v>7</v>
      </c>
      <c r="I90" s="2" t="s">
        <v>48</v>
      </c>
      <c r="J90" s="6">
        <v>4</v>
      </c>
    </row>
    <row r="91" spans="1:10" x14ac:dyDescent="0.25">
      <c r="A91" s="1" t="s">
        <v>280</v>
      </c>
      <c r="B91" s="1" t="s">
        <v>281</v>
      </c>
      <c r="C91" s="1" t="s">
        <v>189</v>
      </c>
      <c r="D91" s="1" t="s">
        <v>68</v>
      </c>
      <c r="E91" s="6">
        <v>2021</v>
      </c>
      <c r="F91" s="6">
        <v>303</v>
      </c>
      <c r="G91" s="6">
        <v>4.3</v>
      </c>
      <c r="H91" s="4">
        <f xml:space="preserve"> VALUE(books[[#This Row],[copies]])</f>
        <v>4</v>
      </c>
      <c r="I91" s="2" t="s">
        <v>23</v>
      </c>
      <c r="J91" s="6">
        <v>2</v>
      </c>
    </row>
    <row r="92" spans="1:10" x14ac:dyDescent="0.25">
      <c r="A92" s="1" t="s">
        <v>282</v>
      </c>
      <c r="B92" s="1" t="s">
        <v>283</v>
      </c>
      <c r="C92" s="1" t="s">
        <v>284</v>
      </c>
      <c r="D92" s="1" t="s">
        <v>68</v>
      </c>
      <c r="E92" s="6">
        <v>1897</v>
      </c>
      <c r="F92" s="6">
        <v>162</v>
      </c>
      <c r="G92" s="6">
        <v>4.4000000000000004</v>
      </c>
      <c r="H92" s="4">
        <f xml:space="preserve"> VALUE(books[[#This Row],[copies]])</f>
        <v>4</v>
      </c>
      <c r="I92" s="2" t="s">
        <v>23</v>
      </c>
      <c r="J92" s="6">
        <v>3</v>
      </c>
    </row>
    <row r="93" spans="1:10" x14ac:dyDescent="0.25">
      <c r="A93" s="1" t="s">
        <v>285</v>
      </c>
      <c r="B93" s="1" t="s">
        <v>286</v>
      </c>
      <c r="C93" s="1" t="s">
        <v>284</v>
      </c>
      <c r="D93" s="1" t="s">
        <v>68</v>
      </c>
      <c r="E93" s="6">
        <v>1895</v>
      </c>
      <c r="F93" s="6">
        <v>118</v>
      </c>
      <c r="G93" s="6">
        <v>4.5</v>
      </c>
      <c r="H93" s="4">
        <f xml:space="preserve"> VALUE(books[[#This Row],[copies]])</f>
        <v>4</v>
      </c>
      <c r="I93" s="2" t="s">
        <v>23</v>
      </c>
      <c r="J93" s="6">
        <v>3</v>
      </c>
    </row>
    <row r="94" spans="1:10" x14ac:dyDescent="0.25">
      <c r="A94" s="1" t="s">
        <v>287</v>
      </c>
      <c r="B94" s="1" t="s">
        <v>288</v>
      </c>
      <c r="C94" s="1" t="s">
        <v>289</v>
      </c>
      <c r="D94" s="1" t="s">
        <v>68</v>
      </c>
      <c r="E94" s="6">
        <v>1968</v>
      </c>
      <c r="F94" s="6">
        <v>244</v>
      </c>
      <c r="G94" s="6">
        <v>4.4000000000000004</v>
      </c>
      <c r="H94" s="4">
        <f xml:space="preserve"> VALUE(books[[#This Row],[copies]])</f>
        <v>3</v>
      </c>
      <c r="I94" s="2" t="s">
        <v>14</v>
      </c>
      <c r="J94" s="6">
        <v>1</v>
      </c>
    </row>
    <row r="95" spans="1:10" x14ac:dyDescent="0.25">
      <c r="A95" s="1" t="s">
        <v>290</v>
      </c>
      <c r="B95" s="1" t="s">
        <v>291</v>
      </c>
      <c r="C95" s="1" t="s">
        <v>292</v>
      </c>
      <c r="D95" s="1" t="s">
        <v>293</v>
      </c>
      <c r="E95" s="6">
        <v>2014</v>
      </c>
      <c r="F95" s="6">
        <v>560</v>
      </c>
      <c r="G95" s="6">
        <v>4.5</v>
      </c>
      <c r="H95" s="4">
        <f xml:space="preserve"> VALUE(books[[#This Row],[copies]])</f>
        <v>4</v>
      </c>
      <c r="I95" s="2" t="s">
        <v>23</v>
      </c>
      <c r="J95" s="6">
        <v>2</v>
      </c>
    </row>
    <row r="96" spans="1:10" x14ac:dyDescent="0.25">
      <c r="A96" s="1" t="s">
        <v>294</v>
      </c>
      <c r="B96" s="1" t="s">
        <v>295</v>
      </c>
      <c r="C96" s="1" t="s">
        <v>292</v>
      </c>
      <c r="D96" s="1" t="s">
        <v>296</v>
      </c>
      <c r="E96" s="6">
        <v>2011</v>
      </c>
      <c r="F96" s="6">
        <v>656</v>
      </c>
      <c r="G96" s="6">
        <v>4.5999999999999996</v>
      </c>
      <c r="H96" s="4">
        <f xml:space="preserve"> VALUE(books[[#This Row],[copies]])</f>
        <v>5</v>
      </c>
      <c r="I96" s="2" t="s">
        <v>13</v>
      </c>
      <c r="J96" s="6">
        <v>2</v>
      </c>
    </row>
    <row r="97" spans="1:10" x14ac:dyDescent="0.25">
      <c r="A97" s="1" t="s">
        <v>297</v>
      </c>
      <c r="B97" s="1" t="s">
        <v>298</v>
      </c>
      <c r="C97" s="1" t="s">
        <v>292</v>
      </c>
      <c r="D97" s="1" t="s">
        <v>296</v>
      </c>
      <c r="E97" s="6">
        <v>2017</v>
      </c>
      <c r="F97" s="6">
        <v>624</v>
      </c>
      <c r="G97" s="6">
        <v>4.5</v>
      </c>
      <c r="H97" s="4">
        <f xml:space="preserve"> VALUE(books[[#This Row],[copies]])</f>
        <v>4</v>
      </c>
      <c r="I97" s="2" t="s">
        <v>23</v>
      </c>
      <c r="J97" s="6">
        <v>1</v>
      </c>
    </row>
    <row r="98" spans="1:10" x14ac:dyDescent="0.25">
      <c r="A98" s="1" t="s">
        <v>299</v>
      </c>
      <c r="B98" s="1" t="s">
        <v>300</v>
      </c>
      <c r="C98" s="1" t="s">
        <v>292</v>
      </c>
      <c r="D98" s="1" t="s">
        <v>296</v>
      </c>
      <c r="E98" s="6">
        <v>2007</v>
      </c>
      <c r="F98" s="6">
        <v>675</v>
      </c>
      <c r="G98" s="6">
        <v>4.5</v>
      </c>
      <c r="H98" s="4">
        <f xml:space="preserve"> VALUE(books[[#This Row],[copies]])</f>
        <v>3</v>
      </c>
      <c r="I98" s="2" t="s">
        <v>14</v>
      </c>
      <c r="J98" s="6">
        <v>1</v>
      </c>
    </row>
    <row r="99" spans="1:10" x14ac:dyDescent="0.25">
      <c r="A99" s="1" t="s">
        <v>301</v>
      </c>
      <c r="B99" s="1" t="s">
        <v>302</v>
      </c>
      <c r="C99" s="1" t="s">
        <v>303</v>
      </c>
      <c r="D99" s="1" t="s">
        <v>296</v>
      </c>
      <c r="E99" s="6">
        <v>1985</v>
      </c>
      <c r="F99" s="6">
        <v>350</v>
      </c>
      <c r="G99" s="6">
        <v>4.8</v>
      </c>
      <c r="H99" s="4">
        <f xml:space="preserve"> VALUE(books[[#This Row],[copies]])</f>
        <v>4</v>
      </c>
      <c r="I99" s="2" t="s">
        <v>23</v>
      </c>
      <c r="J99" s="6">
        <v>2</v>
      </c>
    </row>
    <row r="100" spans="1:10" x14ac:dyDescent="0.25">
      <c r="A100" s="1" t="s">
        <v>304</v>
      </c>
      <c r="B100" s="1" t="s">
        <v>305</v>
      </c>
      <c r="C100" s="1" t="s">
        <v>306</v>
      </c>
      <c r="D100" s="1" t="s">
        <v>307</v>
      </c>
      <c r="E100" s="6">
        <v>1988</v>
      </c>
      <c r="F100" s="6">
        <v>256</v>
      </c>
      <c r="G100" s="6">
        <v>4.5999999999999996</v>
      </c>
      <c r="H100" s="4">
        <f xml:space="preserve"> VALUE(books[[#This Row],[copies]])</f>
        <v>5</v>
      </c>
      <c r="I100" s="2" t="s">
        <v>13</v>
      </c>
      <c r="J100" s="6">
        <v>3</v>
      </c>
    </row>
    <row r="101" spans="1:10" x14ac:dyDescent="0.25">
      <c r="A101" s="1" t="s">
        <v>308</v>
      </c>
      <c r="B101" s="1" t="s">
        <v>309</v>
      </c>
      <c r="C101" s="1" t="s">
        <v>310</v>
      </c>
      <c r="D101" s="1" t="s">
        <v>307</v>
      </c>
      <c r="E101" s="6">
        <v>1980</v>
      </c>
      <c r="F101" s="6">
        <v>365</v>
      </c>
      <c r="G101" s="6">
        <v>4.7</v>
      </c>
      <c r="H101" s="4">
        <f xml:space="preserve"> VALUE(books[[#This Row],[copies]])</f>
        <v>5</v>
      </c>
      <c r="I101" s="2" t="s">
        <v>13</v>
      </c>
      <c r="J101" s="6">
        <v>2</v>
      </c>
    </row>
    <row r="102" spans="1:10" x14ac:dyDescent="0.25">
      <c r="A102" s="1" t="s">
        <v>311</v>
      </c>
      <c r="B102" s="1" t="s">
        <v>312</v>
      </c>
      <c r="C102" s="1" t="s">
        <v>313</v>
      </c>
      <c r="D102" s="1" t="s">
        <v>307</v>
      </c>
      <c r="E102" s="6">
        <v>1976</v>
      </c>
      <c r="F102" s="6">
        <v>360</v>
      </c>
      <c r="G102" s="6">
        <v>4.5</v>
      </c>
      <c r="H102" s="4">
        <f xml:space="preserve"> VALUE(books[[#This Row],[copies]])</f>
        <v>4</v>
      </c>
      <c r="I102" s="2" t="s">
        <v>23</v>
      </c>
      <c r="J102" s="6">
        <v>2</v>
      </c>
    </row>
    <row r="103" spans="1:10" x14ac:dyDescent="0.25">
      <c r="A103" s="1" t="s">
        <v>314</v>
      </c>
      <c r="B103" s="1" t="s">
        <v>315</v>
      </c>
      <c r="C103" s="1" t="s">
        <v>316</v>
      </c>
      <c r="D103" s="1" t="s">
        <v>83</v>
      </c>
      <c r="E103" s="6">
        <v>1997</v>
      </c>
      <c r="F103" s="6">
        <v>528</v>
      </c>
      <c r="G103" s="6">
        <v>4.5</v>
      </c>
      <c r="H103" s="4">
        <f xml:space="preserve"> VALUE(books[[#This Row],[copies]])</f>
        <v>4</v>
      </c>
      <c r="I103" s="2" t="s">
        <v>23</v>
      </c>
      <c r="J103" s="6">
        <v>1</v>
      </c>
    </row>
    <row r="104" spans="1:10" x14ac:dyDescent="0.25">
      <c r="A104" s="1" t="s">
        <v>317</v>
      </c>
      <c r="B104" s="1" t="s">
        <v>318</v>
      </c>
      <c r="C104" s="1" t="s">
        <v>319</v>
      </c>
      <c r="D104" s="1" t="s">
        <v>83</v>
      </c>
      <c r="E104" s="6">
        <v>2015</v>
      </c>
      <c r="F104" s="6">
        <v>636</v>
      </c>
      <c r="G104" s="6">
        <v>4.4000000000000004</v>
      </c>
      <c r="H104" s="4">
        <f xml:space="preserve"> VALUE(books[[#This Row],[copies]])</f>
        <v>3</v>
      </c>
      <c r="I104" s="2" t="s">
        <v>14</v>
      </c>
      <c r="J104" s="6">
        <v>1</v>
      </c>
    </row>
    <row r="105" spans="1:10" x14ac:dyDescent="0.25">
      <c r="A105" s="1" t="s">
        <v>320</v>
      </c>
      <c r="B105" s="1" t="s">
        <v>321</v>
      </c>
      <c r="C105" s="1" t="s">
        <v>322</v>
      </c>
      <c r="D105" s="1" t="s">
        <v>323</v>
      </c>
      <c r="E105" s="6">
        <v>2015</v>
      </c>
      <c r="F105" s="6">
        <v>320</v>
      </c>
      <c r="G105" s="6">
        <v>4.5</v>
      </c>
      <c r="H105" s="4">
        <f xml:space="preserve"> VALUE(books[[#This Row],[copies]])</f>
        <v>5</v>
      </c>
      <c r="I105" s="2" t="s">
        <v>13</v>
      </c>
      <c r="J105" s="6">
        <v>3</v>
      </c>
    </row>
    <row r="106" spans="1:10" x14ac:dyDescent="0.25">
      <c r="A106" s="1" t="s">
        <v>324</v>
      </c>
      <c r="B106" s="1" t="s">
        <v>325</v>
      </c>
      <c r="C106" s="1" t="s">
        <v>326</v>
      </c>
      <c r="D106" s="1" t="s">
        <v>327</v>
      </c>
      <c r="E106" s="6">
        <v>1988</v>
      </c>
      <c r="F106" s="6">
        <v>368</v>
      </c>
      <c r="G106" s="6">
        <v>4.5999999999999996</v>
      </c>
      <c r="H106" s="4">
        <f xml:space="preserve"> VALUE(books[[#This Row],[copies]])</f>
        <v>4</v>
      </c>
      <c r="I106" s="2" t="s">
        <v>23</v>
      </c>
      <c r="J106" s="6">
        <v>2</v>
      </c>
    </row>
    <row r="107" spans="1:10" x14ac:dyDescent="0.25">
      <c r="A107" s="1" t="s">
        <v>328</v>
      </c>
      <c r="B107" s="1" t="s">
        <v>329</v>
      </c>
      <c r="C107" s="1" t="s">
        <v>330</v>
      </c>
      <c r="D107" s="1" t="s">
        <v>327</v>
      </c>
      <c r="E107" s="6">
        <v>2000</v>
      </c>
      <c r="F107" s="6">
        <v>216</v>
      </c>
      <c r="G107" s="6">
        <v>4.7</v>
      </c>
      <c r="H107" s="4">
        <f xml:space="preserve"> VALUE(books[[#This Row],[copies]])</f>
        <v>5</v>
      </c>
      <c r="I107" s="2" t="s">
        <v>13</v>
      </c>
      <c r="J107" s="6">
        <v>4</v>
      </c>
    </row>
    <row r="108" spans="1:10" x14ac:dyDescent="0.25">
      <c r="A108" s="1" t="s">
        <v>331</v>
      </c>
      <c r="B108" s="1" t="s">
        <v>332</v>
      </c>
      <c r="C108" s="1" t="s">
        <v>333</v>
      </c>
      <c r="D108" s="1" t="s">
        <v>293</v>
      </c>
      <c r="E108" s="6">
        <v>2008</v>
      </c>
      <c r="F108" s="6">
        <v>464</v>
      </c>
      <c r="G108" s="6">
        <v>4.5999999999999996</v>
      </c>
      <c r="H108" s="4">
        <f xml:space="preserve"> VALUE(books[[#This Row],[copies]])</f>
        <v>6</v>
      </c>
      <c r="I108" s="2" t="s">
        <v>19</v>
      </c>
      <c r="J108" s="6">
        <v>2</v>
      </c>
    </row>
    <row r="109" spans="1:10" x14ac:dyDescent="0.25">
      <c r="A109" s="1" t="s">
        <v>334</v>
      </c>
      <c r="B109" s="1" t="s">
        <v>335</v>
      </c>
      <c r="C109" s="1" t="s">
        <v>336</v>
      </c>
      <c r="D109" s="1" t="s">
        <v>293</v>
      </c>
      <c r="E109" s="6">
        <v>1999</v>
      </c>
      <c r="F109" s="6">
        <v>352</v>
      </c>
      <c r="G109" s="6">
        <v>4.8</v>
      </c>
      <c r="H109" s="4">
        <f xml:space="preserve"> VALUE(books[[#This Row],[copies]])</f>
        <v>5</v>
      </c>
      <c r="I109" s="2" t="s">
        <v>13</v>
      </c>
      <c r="J109" s="6">
        <v>2</v>
      </c>
    </row>
    <row r="110" spans="1:10" x14ac:dyDescent="0.25">
      <c r="A110" s="1" t="s">
        <v>337</v>
      </c>
      <c r="B110" s="1" t="s">
        <v>338</v>
      </c>
      <c r="C110" s="1" t="s">
        <v>339</v>
      </c>
      <c r="D110" s="1" t="s">
        <v>293</v>
      </c>
      <c r="E110" s="6">
        <v>2015</v>
      </c>
      <c r="F110" s="6">
        <v>544</v>
      </c>
      <c r="G110" s="6">
        <v>4.7</v>
      </c>
      <c r="H110" s="4">
        <f xml:space="preserve"> VALUE(books[[#This Row],[copies]])</f>
        <v>6</v>
      </c>
      <c r="I110" s="2" t="s">
        <v>19</v>
      </c>
      <c r="J110" s="6">
        <v>4</v>
      </c>
    </row>
    <row r="111" spans="1:10" x14ac:dyDescent="0.25">
      <c r="A111" s="1" t="s">
        <v>340</v>
      </c>
      <c r="B111" s="1" t="s">
        <v>341</v>
      </c>
      <c r="C111" s="1" t="s">
        <v>342</v>
      </c>
      <c r="D111" s="1" t="s">
        <v>293</v>
      </c>
      <c r="E111" s="6">
        <v>2015</v>
      </c>
      <c r="F111" s="6">
        <v>592</v>
      </c>
      <c r="G111" s="6">
        <v>4.7</v>
      </c>
      <c r="H111" s="4">
        <f xml:space="preserve"> VALUE(books[[#This Row],[copies]])</f>
        <v>5</v>
      </c>
      <c r="I111" s="2" t="s">
        <v>13</v>
      </c>
      <c r="J111" s="6">
        <v>3</v>
      </c>
    </row>
  </sheetData>
  <pageMargins left="0.7" right="0.7" top="0.75" bottom="0.75" header="0.3" footer="0.3"/>
  <pageSetup orientation="portrait"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2"/>
  <sheetViews>
    <sheetView showGridLines="0" tabSelected="1" topLeftCell="A18" zoomScale="85" workbookViewId="0">
      <selection activeCell="K3" sqref="K3"/>
    </sheetView>
  </sheetViews>
  <sheetFormatPr defaultRowHeight="15" x14ac:dyDescent="0.25"/>
  <cols>
    <col min="1" max="1" width="16.28515625" customWidth="1"/>
    <col min="2" max="2" width="19.85546875" customWidth="1"/>
    <col min="3" max="3" width="19.140625" customWidth="1"/>
    <col min="4" max="4" width="17.5703125" customWidth="1"/>
    <col min="6" max="6" width="16" customWidth="1"/>
    <col min="8" max="8" width="4.7109375" customWidth="1"/>
    <col min="9" max="9" width="16" customWidth="1"/>
    <col min="13" max="13" width="13.28515625" customWidth="1"/>
    <col min="14" max="14" width="16.28515625" bestFit="1" customWidth="1"/>
  </cols>
  <sheetData>
    <row r="1" spans="1:15" ht="18.75" x14ac:dyDescent="0.25">
      <c r="A1" s="11" t="s">
        <v>355</v>
      </c>
      <c r="C1" s="12" t="s">
        <v>346</v>
      </c>
      <c r="F1" s="12" t="s">
        <v>356</v>
      </c>
      <c r="I1" s="13" t="s">
        <v>357</v>
      </c>
    </row>
    <row r="2" spans="1:15" ht="19.5" thickBot="1" x14ac:dyDescent="0.3">
      <c r="A2" s="14">
        <v>110</v>
      </c>
      <c r="C2" s="15">
        <v>535</v>
      </c>
      <c r="F2" s="15">
        <v>266</v>
      </c>
      <c r="I2" s="16">
        <v>4.57</v>
      </c>
    </row>
    <row r="6" spans="1:15" x14ac:dyDescent="0.25">
      <c r="A6" s="10"/>
      <c r="B6" s="10"/>
      <c r="C6" s="10"/>
      <c r="D6" s="10"/>
      <c r="E6" s="10"/>
      <c r="F6" s="10"/>
      <c r="G6" s="10"/>
      <c r="H6" s="10"/>
      <c r="I6" s="10"/>
      <c r="J6" s="10"/>
      <c r="K6" s="10"/>
      <c r="L6" s="10"/>
      <c r="M6" s="10" t="s">
        <v>349</v>
      </c>
      <c r="N6" s="10" t="s">
        <v>354</v>
      </c>
      <c r="O6" s="10"/>
    </row>
    <row r="7" spans="1:15" x14ac:dyDescent="0.25">
      <c r="A7" s="10"/>
      <c r="B7" s="10"/>
      <c r="C7" s="10"/>
      <c r="D7" s="10"/>
      <c r="E7" s="10"/>
      <c r="F7" s="10"/>
      <c r="G7" s="10"/>
      <c r="H7" s="10"/>
      <c r="I7" s="10"/>
      <c r="J7" s="10"/>
      <c r="K7" s="10"/>
      <c r="L7" s="10"/>
      <c r="M7" s="17" t="s">
        <v>111</v>
      </c>
      <c r="N7" s="18">
        <v>4.5</v>
      </c>
      <c r="O7" s="10"/>
    </row>
    <row r="8" spans="1:15" x14ac:dyDescent="0.25">
      <c r="A8" s="10"/>
      <c r="B8" s="10"/>
      <c r="C8" s="10"/>
      <c r="D8" s="10"/>
      <c r="E8" s="10"/>
      <c r="F8" s="10"/>
      <c r="G8" s="10"/>
      <c r="H8" s="10"/>
      <c r="I8" s="10"/>
      <c r="J8" s="10"/>
      <c r="K8" s="10"/>
      <c r="L8" s="10"/>
      <c r="M8" s="17" t="s">
        <v>83</v>
      </c>
      <c r="N8" s="18">
        <v>4.5</v>
      </c>
      <c r="O8" s="10"/>
    </row>
    <row r="9" spans="1:15" x14ac:dyDescent="0.25">
      <c r="A9" s="10"/>
      <c r="B9" s="10"/>
      <c r="C9" s="10"/>
      <c r="D9" s="10"/>
      <c r="E9" s="10"/>
      <c r="F9" s="10"/>
      <c r="G9" s="10"/>
      <c r="H9" s="10"/>
      <c r="I9" s="10"/>
      <c r="J9" s="10"/>
      <c r="K9" s="10"/>
      <c r="L9" s="10"/>
      <c r="M9" s="17" t="s">
        <v>227</v>
      </c>
      <c r="N9" s="18">
        <v>4.4714285714285706</v>
      </c>
      <c r="O9" s="10"/>
    </row>
    <row r="10" spans="1:15" x14ac:dyDescent="0.25">
      <c r="A10" s="10"/>
      <c r="B10" s="10"/>
      <c r="C10" s="10"/>
      <c r="D10" s="10"/>
      <c r="E10" s="10"/>
      <c r="F10" s="10"/>
      <c r="G10" s="10"/>
      <c r="H10" s="10"/>
      <c r="I10" s="10"/>
      <c r="J10" s="10"/>
      <c r="K10" s="10"/>
      <c r="L10" s="10"/>
      <c r="M10" s="17" t="s">
        <v>350</v>
      </c>
      <c r="N10" s="18">
        <v>4.4857142857142858</v>
      </c>
      <c r="O10" s="10"/>
    </row>
    <row r="11" spans="1:15" x14ac:dyDescent="0.25">
      <c r="A11" s="10"/>
      <c r="B11" s="10"/>
      <c r="C11" s="10"/>
      <c r="D11" s="10"/>
      <c r="E11" s="10"/>
      <c r="F11" s="10"/>
      <c r="G11" s="10"/>
      <c r="H11" s="10"/>
      <c r="I11" s="10"/>
      <c r="J11" s="10"/>
      <c r="K11" s="10"/>
      <c r="L11" s="10"/>
      <c r="O11" s="10"/>
    </row>
    <row r="12" spans="1:15" x14ac:dyDescent="0.25">
      <c r="A12" s="10"/>
      <c r="B12" s="10"/>
      <c r="C12" s="10"/>
      <c r="D12" s="10"/>
      <c r="E12" s="10"/>
      <c r="F12" s="10"/>
      <c r="G12" s="10"/>
      <c r="H12" s="10"/>
      <c r="I12" s="10"/>
      <c r="J12" s="10"/>
      <c r="K12" s="10"/>
      <c r="L12" s="10"/>
      <c r="O12" s="10"/>
    </row>
    <row r="13" spans="1:15" x14ac:dyDescent="0.25">
      <c r="A13" s="10"/>
      <c r="B13" s="10"/>
      <c r="C13" s="10"/>
      <c r="D13" s="10"/>
      <c r="E13" s="10"/>
      <c r="F13" s="10"/>
      <c r="G13" s="10"/>
      <c r="H13" s="10"/>
      <c r="I13" s="10"/>
      <c r="J13" s="10"/>
      <c r="K13" s="10"/>
      <c r="L13" s="10"/>
      <c r="M13" s="10"/>
      <c r="N13" s="10"/>
      <c r="O13" s="10"/>
    </row>
    <row r="14" spans="1:15" x14ac:dyDescent="0.25">
      <c r="A14" s="10"/>
      <c r="B14" s="10"/>
      <c r="C14" s="10"/>
      <c r="D14" s="10"/>
      <c r="E14" s="10"/>
      <c r="F14" s="10"/>
      <c r="G14" s="10"/>
      <c r="H14" s="10"/>
      <c r="I14" s="10"/>
      <c r="J14" s="10"/>
      <c r="K14" s="10"/>
      <c r="L14" s="10"/>
      <c r="M14" s="10"/>
      <c r="N14" s="10"/>
      <c r="O14" s="10"/>
    </row>
    <row r="15" spans="1:15" x14ac:dyDescent="0.25">
      <c r="A15" s="10"/>
      <c r="B15" s="10"/>
      <c r="C15" s="10"/>
      <c r="D15" s="10"/>
      <c r="E15" s="10"/>
      <c r="F15" s="10"/>
      <c r="G15" s="10"/>
      <c r="H15" s="10"/>
      <c r="I15" s="10"/>
      <c r="J15" s="10"/>
      <c r="K15" s="10"/>
      <c r="L15" s="10"/>
      <c r="M15" s="10"/>
      <c r="N15" s="10"/>
      <c r="O15" s="10"/>
    </row>
    <row r="16" spans="1:15" x14ac:dyDescent="0.25">
      <c r="A16" s="10"/>
      <c r="B16" s="10"/>
      <c r="C16" s="10"/>
      <c r="D16" s="10"/>
      <c r="E16" s="10"/>
      <c r="F16" s="10"/>
      <c r="G16" s="10"/>
      <c r="H16" s="10"/>
      <c r="I16" s="10"/>
      <c r="J16" s="10"/>
      <c r="K16" s="10"/>
      <c r="L16" s="10"/>
      <c r="M16" s="10"/>
      <c r="N16" s="10"/>
      <c r="O16" s="10"/>
    </row>
    <row r="17" spans="1:15" x14ac:dyDescent="0.25">
      <c r="A17" s="10"/>
      <c r="B17" s="10"/>
      <c r="C17" s="10"/>
      <c r="D17" s="10"/>
      <c r="E17" s="10"/>
      <c r="F17" s="10"/>
      <c r="G17" s="10"/>
      <c r="H17" s="10"/>
      <c r="I17" s="10"/>
      <c r="J17" s="10"/>
      <c r="K17" s="10"/>
      <c r="L17" s="10"/>
      <c r="M17" s="10"/>
      <c r="N17" s="10"/>
      <c r="O17" s="10"/>
    </row>
    <row r="18" spans="1:15" x14ac:dyDescent="0.25">
      <c r="A18" s="10"/>
      <c r="B18" s="10"/>
      <c r="C18" s="10"/>
      <c r="D18" s="10"/>
      <c r="E18" s="10"/>
      <c r="F18" s="10"/>
      <c r="G18" s="10"/>
      <c r="H18" s="10"/>
      <c r="I18" s="10"/>
      <c r="J18" s="10"/>
      <c r="K18" s="10"/>
      <c r="L18" s="10"/>
      <c r="M18" s="10"/>
      <c r="N18" s="10"/>
      <c r="O18" s="10"/>
    </row>
    <row r="19" spans="1:15" x14ac:dyDescent="0.25">
      <c r="A19" s="10"/>
      <c r="B19" s="10"/>
      <c r="C19" s="10"/>
      <c r="D19" s="10"/>
      <c r="E19" s="10"/>
      <c r="F19" s="10"/>
      <c r="G19" s="10"/>
      <c r="H19" s="10"/>
      <c r="I19" s="10"/>
      <c r="J19" s="10"/>
      <c r="K19" s="10"/>
      <c r="L19" s="10"/>
      <c r="M19" s="10"/>
      <c r="N19" s="10"/>
      <c r="O19" s="10"/>
    </row>
    <row r="20" spans="1:15" x14ac:dyDescent="0.25">
      <c r="A20" s="10"/>
      <c r="B20" s="10"/>
      <c r="C20" s="10"/>
      <c r="D20" s="10"/>
      <c r="E20" s="10"/>
      <c r="F20" s="10"/>
      <c r="G20" s="10"/>
      <c r="H20" s="10"/>
      <c r="I20" s="10"/>
      <c r="J20" s="10"/>
      <c r="K20" s="10"/>
      <c r="L20" s="10"/>
      <c r="M20" s="10"/>
      <c r="N20" s="10"/>
      <c r="O20" s="10"/>
    </row>
    <row r="21" spans="1:15" x14ac:dyDescent="0.25">
      <c r="A21" s="10"/>
      <c r="B21" s="10"/>
      <c r="C21" s="10"/>
      <c r="D21" s="10"/>
      <c r="E21" s="10"/>
      <c r="F21" s="10"/>
      <c r="G21" s="10"/>
      <c r="H21" s="10"/>
      <c r="I21" s="10"/>
      <c r="J21" s="10"/>
      <c r="K21" s="10"/>
      <c r="L21" s="10"/>
      <c r="M21" s="10"/>
      <c r="N21" s="10"/>
      <c r="O21" s="10"/>
    </row>
    <row r="22" spans="1:15" x14ac:dyDescent="0.25">
      <c r="A22" s="10"/>
      <c r="B22" s="10"/>
      <c r="C22" s="10"/>
      <c r="D22" s="10"/>
      <c r="E22" s="10"/>
      <c r="F22" s="10"/>
      <c r="G22" s="10"/>
      <c r="H22" s="10"/>
      <c r="I22" s="10"/>
      <c r="J22" s="10"/>
      <c r="K22" s="10"/>
      <c r="L22" s="10"/>
      <c r="M22" s="10"/>
      <c r="N22" s="10"/>
      <c r="O22" s="10"/>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Sheet2</vt:lpstr>
      <vt:lpstr>Sheet3</vt:lpstr>
      <vt:lpstr>Sheet6</vt:lpstr>
      <vt:lpstr>library_books</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mohmm</dc:creator>
  <cp:lastModifiedBy>mohmm</cp:lastModifiedBy>
  <dcterms:modified xsi:type="dcterms:W3CDTF">2026-08-17T18:50:55Z</dcterms:modified>
</cp:coreProperties>
</file>